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gere\Documents\Image Analyst\Repo\PickliPy\"/>
    </mc:Choice>
  </mc:AlternateContent>
  <xr:revisionPtr revIDLastSave="0" documentId="13_ncr:1_{1B269C56-9787-42F5-AA56-C6F3A44F230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Plate" sheetId="1" r:id="rId1"/>
    <sheet name="Tally" sheetId="2" r:id="rId2"/>
    <sheet name="Checklist" sheetId="3" r:id="rId3"/>
    <sheet name="Condition Names" sheetId="4" r:id="rId4"/>
    <sheet name="Randomiz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6" i="1"/>
  <c r="G3" i="1" l="1"/>
  <c r="J3" i="1" l="1"/>
  <c r="J2" i="1"/>
  <c r="G2" i="1"/>
  <c r="M13" i="5" l="1"/>
  <c r="M11" i="5"/>
  <c r="M9" i="5"/>
  <c r="M8" i="5"/>
  <c r="M2" i="5"/>
  <c r="M6" i="5"/>
  <c r="M1" i="5"/>
  <c r="M10" i="5"/>
  <c r="M4" i="5"/>
  <c r="M15" i="5"/>
  <c r="M12" i="5"/>
  <c r="M14" i="5"/>
  <c r="M5" i="5"/>
  <c r="M7" i="5"/>
  <c r="M16" i="5"/>
  <c r="M17" i="5"/>
  <c r="M3" i="5"/>
  <c r="M18" i="5"/>
  <c r="O2" i="5"/>
  <c r="O5" i="5"/>
  <c r="O1" i="5"/>
  <c r="O4" i="5"/>
  <c r="O10" i="5"/>
  <c r="O9" i="5"/>
  <c r="O8" i="5"/>
  <c r="O6" i="5"/>
  <c r="O7" i="5"/>
  <c r="O13" i="5"/>
  <c r="O12" i="5"/>
  <c r="O15" i="5"/>
  <c r="O11" i="5"/>
  <c r="O17" i="5"/>
  <c r="O16" i="5"/>
  <c r="O18" i="5"/>
  <c r="O14" i="5"/>
  <c r="O3" i="5"/>
  <c r="A85" i="1" l="1"/>
  <c r="A83" i="1"/>
  <c r="A81" i="1"/>
  <c r="A79" i="1"/>
  <c r="A77" i="1"/>
  <c r="A75" i="1"/>
  <c r="A72" i="1"/>
  <c r="A70" i="1"/>
  <c r="A68" i="1"/>
  <c r="A66" i="1"/>
  <c r="A64" i="1"/>
  <c r="A62" i="1"/>
  <c r="A59" i="1"/>
  <c r="A57" i="1"/>
  <c r="A55" i="1"/>
  <c r="A53" i="1"/>
  <c r="A51" i="1"/>
  <c r="A49" i="1"/>
  <c r="A46" i="1"/>
  <c r="A44" i="1"/>
  <c r="A42" i="1"/>
  <c r="A40" i="1"/>
  <c r="A38" i="1"/>
  <c r="A36" i="1"/>
  <c r="C35" i="1"/>
  <c r="G34" i="1"/>
  <c r="C34" i="1"/>
  <c r="C89" i="1" s="1"/>
  <c r="I32" i="1"/>
  <c r="E85" i="1" s="1"/>
  <c r="J32" i="1" l="1"/>
  <c r="K32" i="1" s="1"/>
  <c r="G42" i="1"/>
  <c r="G72" i="1"/>
  <c r="G64" i="1"/>
  <c r="G55" i="1"/>
  <c r="G46" i="1"/>
  <c r="G38" i="1"/>
  <c r="G68" i="1"/>
  <c r="G66" i="1"/>
  <c r="G59" i="1"/>
  <c r="G49" i="1"/>
  <c r="G70" i="1"/>
  <c r="G62" i="1"/>
  <c r="G53" i="1"/>
  <c r="G44" i="1"/>
  <c r="G36" i="1"/>
  <c r="G51" i="1"/>
  <c r="G57" i="1"/>
  <c r="G40" i="1"/>
  <c r="G88" i="1"/>
  <c r="G87" i="1" s="1"/>
  <c r="G35" i="1" s="1"/>
  <c r="E86" i="1"/>
  <c r="D85" i="1" s="1"/>
  <c r="C38" i="1"/>
  <c r="C39" i="1" s="1"/>
  <c r="B38" i="1" s="1"/>
  <c r="E44" i="1"/>
  <c r="C46" i="1"/>
  <c r="C47" i="1" s="1"/>
  <c r="B46" i="1" s="1"/>
  <c r="E53" i="1"/>
  <c r="C55" i="1"/>
  <c r="C56" i="1" s="1"/>
  <c r="B55" i="1" s="1"/>
  <c r="E62" i="1"/>
  <c r="C64" i="1"/>
  <c r="C65" i="1" s="1"/>
  <c r="B64" i="1" s="1"/>
  <c r="E70" i="1"/>
  <c r="C72" i="1"/>
  <c r="C73" i="1" s="1"/>
  <c r="B72" i="1" s="1"/>
  <c r="G77" i="1"/>
  <c r="E79" i="1"/>
  <c r="C81" i="1"/>
  <c r="C82" i="1" s="1"/>
  <c r="B81" i="1" s="1"/>
  <c r="G85" i="1"/>
  <c r="E36" i="1"/>
  <c r="E46" i="1"/>
  <c r="C49" i="1"/>
  <c r="C50" i="1" s="1"/>
  <c r="B49" i="1" s="1"/>
  <c r="E55" i="1"/>
  <c r="C57" i="1"/>
  <c r="C58" i="1" s="1"/>
  <c r="B57" i="1" s="1"/>
  <c r="E64" i="1"/>
  <c r="C66" i="1"/>
  <c r="C67" i="1" s="1"/>
  <c r="B66" i="1" s="1"/>
  <c r="E72" i="1"/>
  <c r="G79" i="1"/>
  <c r="E81" i="1"/>
  <c r="C83" i="1"/>
  <c r="C84" i="1" s="1"/>
  <c r="B83" i="1" s="1"/>
  <c r="E38" i="1"/>
  <c r="C40" i="1"/>
  <c r="C41" i="1" s="1"/>
  <c r="B40" i="1" s="1"/>
  <c r="E40" i="1"/>
  <c r="C42" i="1"/>
  <c r="C43" i="1" s="1"/>
  <c r="B42" i="1" s="1"/>
  <c r="E49" i="1"/>
  <c r="C51" i="1"/>
  <c r="C52" i="1" s="1"/>
  <c r="B51" i="1" s="1"/>
  <c r="E57" i="1"/>
  <c r="C59" i="1"/>
  <c r="C60" i="1" s="1"/>
  <c r="B59" i="1" s="1"/>
  <c r="E66" i="1"/>
  <c r="C68" i="1"/>
  <c r="C69" i="1" s="1"/>
  <c r="B68" i="1" s="1"/>
  <c r="E75" i="1"/>
  <c r="G81" i="1"/>
  <c r="E83" i="1"/>
  <c r="C85" i="1"/>
  <c r="C86" i="1" s="1"/>
  <c r="B85" i="1" s="1"/>
  <c r="E87" i="1"/>
  <c r="E35" i="1" s="1"/>
  <c r="E34" i="1" s="1"/>
  <c r="C36" i="1"/>
  <c r="C37" i="1" s="1"/>
  <c r="B36" i="1" s="1"/>
  <c r="E42" i="1"/>
  <c r="E43" i="1" s="1"/>
  <c r="D42" i="1" s="1"/>
  <c r="C44" i="1"/>
  <c r="C45" i="1" s="1"/>
  <c r="B44" i="1" s="1"/>
  <c r="E51" i="1"/>
  <c r="C53" i="1"/>
  <c r="C54" i="1" s="1"/>
  <c r="B53" i="1" s="1"/>
  <c r="E59" i="1"/>
  <c r="C62" i="1"/>
  <c r="C63" i="1" s="1"/>
  <c r="B62" i="1" s="1"/>
  <c r="E68" i="1"/>
  <c r="C70" i="1"/>
  <c r="C71" i="1" s="1"/>
  <c r="B70" i="1" s="1"/>
  <c r="G75" i="1"/>
  <c r="E77" i="1"/>
  <c r="C79" i="1"/>
  <c r="C80" i="1" s="1"/>
  <c r="B79" i="1" s="1"/>
  <c r="G83" i="1"/>
  <c r="C77" i="1"/>
  <c r="C78" i="1" s="1"/>
  <c r="B77" i="1" s="1"/>
  <c r="C75" i="1"/>
  <c r="C76" i="1" s="1"/>
  <c r="B75" i="1" s="1"/>
  <c r="G71" i="1" l="1"/>
  <c r="F70" i="1" s="1"/>
  <c r="G56" i="1"/>
  <c r="F55" i="1" s="1"/>
  <c r="G65" i="1"/>
  <c r="F64" i="1" s="1"/>
  <c r="G54" i="1"/>
  <c r="F53" i="1" s="1"/>
  <c r="G73" i="1"/>
  <c r="F72" i="1" s="1"/>
  <c r="G45" i="1"/>
  <c r="F44" i="1" s="1"/>
  <c r="G39" i="1"/>
  <c r="F38" i="1" s="1"/>
  <c r="E84" i="1"/>
  <c r="D83" i="1" s="1"/>
  <c r="G82" i="1"/>
  <c r="F81" i="1" s="1"/>
  <c r="E80" i="1"/>
  <c r="D79" i="1" s="1"/>
  <c r="G78" i="1"/>
  <c r="F77" i="1" s="1"/>
  <c r="E69" i="1"/>
  <c r="D68" i="1" s="1"/>
  <c r="G47" i="1"/>
  <c r="F46" i="1" s="1"/>
  <c r="G52" i="1"/>
  <c r="F51" i="1" s="1"/>
  <c r="G63" i="1"/>
  <c r="F62" i="1" s="1"/>
  <c r="G67" i="1"/>
  <c r="F66" i="1" s="1"/>
  <c r="G80" i="1"/>
  <c r="F79" i="1" s="1"/>
  <c r="E60" i="1"/>
  <c r="D59" i="1" s="1"/>
  <c r="G86" i="1"/>
  <c r="F85" i="1" s="1"/>
  <c r="G58" i="1"/>
  <c r="F57" i="1" s="1"/>
  <c r="E45" i="1"/>
  <c r="D44" i="1" s="1"/>
  <c r="E39" i="1"/>
  <c r="D38" i="1" s="1"/>
  <c r="E47" i="1"/>
  <c r="D46" i="1" s="1"/>
  <c r="G37" i="1"/>
  <c r="F36" i="1" s="1"/>
  <c r="E67" i="1"/>
  <c r="D66" i="1" s="1"/>
  <c r="G84" i="1"/>
  <c r="F83" i="1" s="1"/>
  <c r="G76" i="1"/>
  <c r="F75" i="1" s="1"/>
  <c r="E52" i="1"/>
  <c r="D51" i="1" s="1"/>
  <c r="E65" i="1"/>
  <c r="D64" i="1" s="1"/>
  <c r="G69" i="1"/>
  <c r="F68" i="1" s="1"/>
  <c r="G41" i="1"/>
  <c r="F40" i="1" s="1"/>
  <c r="G50" i="1"/>
  <c r="F49" i="1" s="1"/>
  <c r="G60" i="1"/>
  <c r="F59" i="1" s="1"/>
  <c r="G43" i="1"/>
  <c r="F42" i="1" s="1"/>
  <c r="E56" i="1"/>
  <c r="D55" i="1" s="1"/>
  <c r="E58" i="1"/>
  <c r="D57" i="1" s="1"/>
  <c r="E82" i="1"/>
  <c r="D81" i="1" s="1"/>
  <c r="E71" i="1"/>
  <c r="D70" i="1" s="1"/>
  <c r="E50" i="1"/>
  <c r="D49" i="1" s="1"/>
  <c r="E37" i="1"/>
  <c r="D36" i="1" s="1"/>
  <c r="E63" i="1"/>
  <c r="D62" i="1" s="1"/>
  <c r="E73" i="1"/>
  <c r="D72" i="1" s="1"/>
  <c r="E78" i="1"/>
  <c r="D77" i="1" s="1"/>
  <c r="E76" i="1"/>
  <c r="D75" i="1" s="1"/>
  <c r="E41" i="1"/>
  <c r="D40" i="1" s="1"/>
  <c r="E54" i="1"/>
  <c r="D53" i="1" s="1"/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1" i="4"/>
  <c r="A24" i="4"/>
  <c r="A19" i="4"/>
  <c r="A20" i="4"/>
  <c r="A21" i="4"/>
  <c r="A22" i="4"/>
  <c r="A23" i="4"/>
  <c r="A27" i="3" l="1"/>
  <c r="A26" i="3"/>
  <c r="A25" i="3"/>
  <c r="A24" i="3"/>
  <c r="A23" i="3"/>
  <c r="A22" i="3"/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" i="4"/>
  <c r="B63" i="4" l="1"/>
  <c r="B64" i="4"/>
  <c r="B65" i="4"/>
  <c r="B66" i="4"/>
  <c r="B67" i="4"/>
  <c r="B68" i="4"/>
  <c r="B69" i="4"/>
  <c r="B70" i="4"/>
  <c r="B71" i="4"/>
  <c r="B72" i="4"/>
  <c r="B73" i="4"/>
  <c r="B74" i="4"/>
  <c r="B34" i="4"/>
  <c r="B33" i="4"/>
  <c r="B61" i="4"/>
  <c r="B62" i="4"/>
  <c r="B55" i="4"/>
  <c r="B56" i="4"/>
  <c r="B31" i="4"/>
  <c r="B32" i="4"/>
  <c r="B42" i="4"/>
  <c r="B41" i="4"/>
  <c r="B51" i="4"/>
  <c r="B52" i="4"/>
  <c r="B47" i="4"/>
  <c r="B48" i="4"/>
  <c r="B37" i="4"/>
  <c r="B38" i="4"/>
  <c r="B45" i="4"/>
  <c r="B46" i="4"/>
  <c r="B60" i="4"/>
  <c r="B59" i="4"/>
  <c r="B35" i="4"/>
  <c r="B36" i="4"/>
  <c r="B50" i="4"/>
  <c r="B49" i="4"/>
  <c r="B57" i="4"/>
  <c r="B58" i="4"/>
  <c r="B27" i="4"/>
  <c r="B28" i="4"/>
  <c r="B43" i="4"/>
  <c r="B44" i="4"/>
  <c r="B53" i="4"/>
  <c r="B54" i="4"/>
  <c r="B29" i="4"/>
  <c r="B30" i="4"/>
  <c r="B39" i="4"/>
  <c r="B40" i="4"/>
  <c r="A20" i="3"/>
  <c r="A9" i="3"/>
  <c r="A10" i="3"/>
  <c r="A11" i="3"/>
  <c r="A12" i="3"/>
  <c r="A13" i="3"/>
  <c r="A15" i="3"/>
  <c r="A16" i="3"/>
  <c r="A17" i="3"/>
  <c r="A18" i="3"/>
  <c r="A19" i="3"/>
  <c r="A8" i="3"/>
  <c r="A6" i="3"/>
  <c r="A5" i="3"/>
  <c r="A4" i="3"/>
  <c r="A3" i="3"/>
  <c r="A2" i="3"/>
  <c r="B26" i="3" l="1"/>
  <c r="I14" i="3" s="1"/>
  <c r="B24" i="3"/>
  <c r="I12" i="3" s="1"/>
  <c r="B25" i="3"/>
  <c r="I13" i="3" s="1"/>
  <c r="B22" i="3"/>
  <c r="I10" i="3" s="1"/>
  <c r="B23" i="3"/>
  <c r="I11" i="3" s="1"/>
  <c r="A1" i="3"/>
  <c r="A57" i="2" l="1"/>
  <c r="A58" i="2"/>
  <c r="A56" i="2"/>
  <c r="A59" i="2"/>
  <c r="A55" i="2"/>
  <c r="B27" i="3"/>
  <c r="I15" i="3" s="1"/>
  <c r="B6" i="3"/>
  <c r="F15" i="3" s="1"/>
  <c r="A6" i="2"/>
  <c r="B5" i="3"/>
  <c r="F14" i="3" s="1"/>
  <c r="A5" i="2"/>
  <c r="B18" i="3"/>
  <c r="H13" i="3" s="1"/>
  <c r="A16" i="2"/>
  <c r="B1" i="3"/>
  <c r="F10" i="3" s="1"/>
  <c r="A1" i="2"/>
  <c r="B13" i="3"/>
  <c r="G15" i="3" s="1"/>
  <c r="A12" i="2"/>
  <c r="B15" i="3"/>
  <c r="H10" i="3" s="1"/>
  <c r="A13" i="2"/>
  <c r="B20" i="3"/>
  <c r="H15" i="3" s="1"/>
  <c r="A18" i="2"/>
  <c r="B11" i="3"/>
  <c r="G13" i="3" s="1"/>
  <c r="A10" i="2"/>
  <c r="B3" i="3"/>
  <c r="F12" i="3" s="1"/>
  <c r="A3" i="2"/>
  <c r="B4" i="3"/>
  <c r="F13" i="3" s="1"/>
  <c r="A4" i="2"/>
  <c r="B10" i="3"/>
  <c r="G12" i="3" s="1"/>
  <c r="A9" i="2"/>
  <c r="B16" i="3"/>
  <c r="H11" i="3" s="1"/>
  <c r="A14" i="2"/>
  <c r="B12" i="3"/>
  <c r="G14" i="3" s="1"/>
  <c r="A11" i="2"/>
  <c r="B9" i="3"/>
  <c r="G11" i="3" s="1"/>
  <c r="A8" i="2"/>
  <c r="B2" i="3"/>
  <c r="F11" i="3" s="1"/>
  <c r="A2" i="2"/>
  <c r="B17" i="3"/>
  <c r="H12" i="3" s="1"/>
  <c r="A15" i="2"/>
  <c r="B19" i="3"/>
  <c r="H14" i="3" s="1"/>
  <c r="A17" i="2"/>
  <c r="A69" i="2" l="1"/>
  <c r="A42" i="2"/>
  <c r="A44" i="2"/>
  <c r="A53" i="2"/>
  <c r="A37" i="2"/>
  <c r="A48" i="2"/>
  <c r="A49" i="2"/>
  <c r="A70" i="2"/>
  <c r="A47" i="2"/>
  <c r="A67" i="2"/>
  <c r="A60" i="2"/>
  <c r="B8" i="3"/>
  <c r="G10" i="3" s="1"/>
  <c r="A7" i="2"/>
  <c r="A43" i="2"/>
  <c r="A46" i="2" l="1"/>
  <c r="A40" i="2"/>
  <c r="A68" i="2"/>
  <c r="A45" i="2"/>
  <c r="A39" i="2"/>
  <c r="A54" i="2"/>
  <c r="A38" i="2"/>
  <c r="A71" i="2"/>
  <c r="A50" i="2"/>
  <c r="A51" i="2"/>
  <c r="A41" i="2"/>
  <c r="A52" i="2"/>
  <c r="A72" i="2" l="1"/>
  <c r="A36" i="2" l="1"/>
  <c r="A22" i="2"/>
  <c r="A23" i="2"/>
  <c r="A33" i="2"/>
  <c r="C27" i="3"/>
  <c r="N15" i="3" s="1"/>
  <c r="A63" i="2"/>
  <c r="A25" i="2"/>
  <c r="A61" i="2"/>
  <c r="C1" i="3" l="1"/>
  <c r="K10" i="3" s="1"/>
  <c r="A19" i="2"/>
  <c r="C23" i="3"/>
  <c r="N11" i="3" s="1"/>
  <c r="A62" i="2"/>
  <c r="C10" i="3"/>
  <c r="L12" i="3" s="1"/>
  <c r="A27" i="2"/>
  <c r="A20" i="2"/>
  <c r="C2" i="3"/>
  <c r="K11" i="3" s="1"/>
  <c r="C22" i="3"/>
  <c r="N10" i="3" s="1"/>
  <c r="C4" i="3"/>
  <c r="K13" i="3" s="1"/>
  <c r="C20" i="3"/>
  <c r="M15" i="3" s="1"/>
  <c r="C17" i="3"/>
  <c r="M12" i="3" s="1"/>
  <c r="C5" i="3"/>
  <c r="K14" i="3" s="1"/>
  <c r="A66" i="2"/>
  <c r="C8" i="3"/>
  <c r="L10" i="3" s="1"/>
  <c r="C24" i="3"/>
  <c r="N12" i="3" s="1"/>
  <c r="C25" i="3" l="1"/>
  <c r="N13" i="3" s="1"/>
  <c r="A64" i="2"/>
  <c r="A26" i="2"/>
  <c r="C9" i="3"/>
  <c r="L11" i="3" s="1"/>
  <c r="C11" i="3"/>
  <c r="L13" i="3" s="1"/>
  <c r="A28" i="2"/>
  <c r="C19" i="3"/>
  <c r="M14" i="3" s="1"/>
  <c r="A35" i="2"/>
  <c r="A34" i="2"/>
  <c r="C18" i="3"/>
  <c r="M13" i="3" s="1"/>
  <c r="A65" i="2"/>
  <c r="C26" i="3"/>
  <c r="N14" i="3" s="1"/>
  <c r="A30" i="2"/>
  <c r="C13" i="3"/>
  <c r="L15" i="3" s="1"/>
  <c r="A31" i="2"/>
  <c r="C15" i="3"/>
  <c r="M10" i="3" s="1"/>
  <c r="C3" i="3"/>
  <c r="K12" i="3" s="1"/>
  <c r="A21" i="2"/>
  <c r="A29" i="2"/>
  <c r="C12" i="3"/>
  <c r="L14" i="3" s="1"/>
  <c r="A32" i="2"/>
  <c r="C16" i="3"/>
  <c r="M11" i="3" s="1"/>
  <c r="A24" i="2"/>
  <c r="C6" i="3"/>
  <c r="K15" i="3" s="1"/>
  <c r="C2" i="2" l="1" a="1"/>
  <c r="C2" i="2" s="1"/>
  <c r="C3" i="2" s="1" a="1"/>
  <c r="C3" i="2" s="1"/>
  <c r="J37" i="1" s="1"/>
  <c r="J36" i="1" l="1"/>
  <c r="M36" i="1" s="1"/>
  <c r="M37" i="1"/>
  <c r="N37" i="1"/>
  <c r="C4" i="2" a="1"/>
  <c r="C4" i="2" s="1"/>
  <c r="J38" i="1" s="1"/>
  <c r="N36" i="1" l="1"/>
  <c r="Q36" i="1" s="1"/>
  <c r="P36" i="1" s="1"/>
  <c r="Q37" i="1"/>
  <c r="P37" i="1" s="1"/>
  <c r="C5" i="2" a="1"/>
  <c r="C5" i="2" s="1"/>
  <c r="J39" i="1" s="1"/>
  <c r="M38" i="1"/>
  <c r="N38" i="1"/>
  <c r="Q38" i="1" l="1"/>
  <c r="P38" i="1" s="1"/>
  <c r="C6" i="2" a="1"/>
  <c r="C6" i="2" s="1"/>
  <c r="J40" i="1" s="1"/>
  <c r="N39" i="1"/>
  <c r="M39" i="1"/>
  <c r="Q39" i="1" l="1"/>
  <c r="P39" i="1" s="1"/>
  <c r="M40" i="1"/>
  <c r="N40" i="1"/>
  <c r="C7" i="2" a="1"/>
  <c r="C7" i="2" s="1"/>
  <c r="J41" i="1" s="1"/>
  <c r="Q40" i="1" l="1"/>
  <c r="P40" i="1" s="1"/>
  <c r="C8" i="2" a="1"/>
  <c r="C8" i="2" s="1"/>
  <c r="M41" i="1"/>
  <c r="N41" i="1"/>
  <c r="Q41" i="1" l="1"/>
  <c r="P41" i="1" s="1"/>
  <c r="J42" i="1"/>
  <c r="C9" i="2" a="1"/>
  <c r="C9" i="2" s="1"/>
  <c r="J43" i="1" l="1"/>
  <c r="C10" i="2" a="1"/>
  <c r="C10" i="2" s="1"/>
  <c r="M42" i="1"/>
  <c r="N42" i="1"/>
  <c r="Q42" i="1" l="1"/>
  <c r="P42" i="1" s="1"/>
  <c r="J44" i="1"/>
  <c r="C11" i="2" a="1"/>
  <c r="C11" i="2" s="1"/>
  <c r="N43" i="1"/>
  <c r="M43" i="1"/>
  <c r="Q43" i="1" l="1"/>
  <c r="P43" i="1" s="1"/>
  <c r="M44" i="1"/>
  <c r="N44" i="1"/>
  <c r="J45" i="1"/>
  <c r="C12" i="2" a="1"/>
  <c r="C12" i="2" s="1"/>
  <c r="Q44" i="1" l="1"/>
  <c r="P44" i="1" s="1"/>
  <c r="J46" i="1"/>
  <c r="C13" i="2" a="1"/>
  <c r="C13" i="2" s="1"/>
  <c r="N45" i="1"/>
  <c r="M45" i="1"/>
  <c r="Q45" i="1" l="1"/>
  <c r="P45" i="1" s="1"/>
  <c r="J47" i="1"/>
  <c r="C14" i="2" a="1"/>
  <c r="C14" i="2" s="1"/>
  <c r="M46" i="1"/>
  <c r="N46" i="1"/>
  <c r="Q46" i="1" l="1"/>
  <c r="P46" i="1" s="1"/>
  <c r="N47" i="1"/>
  <c r="M47" i="1"/>
  <c r="J48" i="1"/>
  <c r="C15" i="2" a="1"/>
  <c r="C15" i="2" s="1"/>
  <c r="Q47" i="1" l="1"/>
  <c r="P47" i="1" s="1"/>
  <c r="J49" i="1"/>
  <c r="C16" i="2" a="1"/>
  <c r="C16" i="2" s="1"/>
  <c r="M48" i="1"/>
  <c r="N48" i="1"/>
  <c r="Q48" i="1" l="1"/>
  <c r="P48" i="1" s="1"/>
  <c r="J50" i="1"/>
  <c r="C17" i="2" a="1"/>
  <c r="C17" i="2" s="1"/>
  <c r="M49" i="1"/>
  <c r="N49" i="1"/>
  <c r="Q49" i="1" l="1"/>
  <c r="P49" i="1" s="1"/>
  <c r="J51" i="1"/>
  <c r="C18" i="2" a="1"/>
  <c r="C18" i="2" s="1"/>
  <c r="N50" i="1"/>
  <c r="M50" i="1"/>
  <c r="Q50" i="1" l="1"/>
  <c r="P50" i="1" s="1"/>
  <c r="M51" i="1"/>
  <c r="N51" i="1"/>
  <c r="J52" i="1"/>
  <c r="C19" i="2" a="1"/>
  <c r="C19" i="2" s="1"/>
  <c r="Q51" i="1" l="1"/>
  <c r="P51" i="1" s="1"/>
  <c r="J53" i="1"/>
  <c r="C20" i="2" a="1"/>
  <c r="C20" i="2" s="1"/>
  <c r="N52" i="1"/>
  <c r="M52" i="1"/>
  <c r="J54" i="1" l="1"/>
  <c r="C21" i="2" a="1"/>
  <c r="C21" i="2" s="1"/>
  <c r="Q52" i="1"/>
  <c r="P52" i="1" s="1"/>
  <c r="M53" i="1"/>
  <c r="N53" i="1"/>
  <c r="Q53" i="1" l="1"/>
  <c r="P53" i="1" s="1"/>
  <c r="N54" i="1"/>
  <c r="M54" i="1"/>
  <c r="J55" i="1"/>
  <c r="C22" i="2" a="1"/>
  <c r="C22" i="2" s="1"/>
  <c r="Q54" i="1" l="1"/>
  <c r="P54" i="1" s="1"/>
  <c r="J56" i="1"/>
  <c r="C23" i="2" a="1"/>
  <c r="C23" i="2" s="1"/>
  <c r="M55" i="1"/>
  <c r="N55" i="1"/>
  <c r="Q55" i="1" l="1"/>
  <c r="P55" i="1" s="1"/>
  <c r="J57" i="1"/>
  <c r="C24" i="2" a="1"/>
  <c r="C24" i="2" s="1"/>
  <c r="M56" i="1"/>
  <c r="N56" i="1"/>
  <c r="Q56" i="1" l="1"/>
  <c r="P56" i="1" s="1"/>
  <c r="J58" i="1"/>
  <c r="C25" i="2" a="1"/>
  <c r="C25" i="2" s="1"/>
  <c r="M57" i="1"/>
  <c r="N57" i="1"/>
  <c r="Q57" i="1" l="1"/>
  <c r="P57" i="1" s="1"/>
  <c r="J59" i="1"/>
  <c r="C26" i="2" a="1"/>
  <c r="C26" i="2" s="1"/>
  <c r="N58" i="1"/>
  <c r="M58" i="1"/>
  <c r="J60" i="1" l="1"/>
  <c r="C27" i="2" a="1"/>
  <c r="C27" i="2" s="1"/>
  <c r="Q58" i="1"/>
  <c r="P58" i="1" s="1"/>
  <c r="M59" i="1"/>
  <c r="N59" i="1"/>
  <c r="Q59" i="1" l="1"/>
  <c r="P59" i="1" s="1"/>
  <c r="M60" i="1"/>
  <c r="N60" i="1"/>
  <c r="J61" i="1"/>
  <c r="C28" i="2" a="1"/>
  <c r="C28" i="2" s="1"/>
  <c r="C29" i="2" s="1" a="1"/>
  <c r="C29" i="2" s="1"/>
  <c r="C30" i="2" s="1" a="1"/>
  <c r="C30" i="2" s="1"/>
  <c r="C31" i="2" s="1" a="1"/>
  <c r="C31" i="2" s="1"/>
  <c r="C32" i="2" s="1" a="1"/>
  <c r="C32" i="2" s="1"/>
  <c r="C33" i="2" s="1" a="1"/>
  <c r="C33" i="2" s="1"/>
  <c r="C34" i="2" s="1" a="1"/>
  <c r="C34" i="2" s="1"/>
  <c r="C35" i="2" s="1" a="1"/>
  <c r="C35" i="2" s="1"/>
  <c r="C36" i="2" s="1" a="1"/>
  <c r="C36" i="2" s="1"/>
  <c r="C37" i="2" s="1" a="1"/>
  <c r="C37" i="2" s="1"/>
  <c r="C38" i="2" s="1" a="1"/>
  <c r="C38" i="2" s="1"/>
  <c r="C39" i="2" s="1" a="1"/>
  <c r="C39" i="2" s="1"/>
  <c r="C40" i="2" s="1" a="1"/>
  <c r="C40" i="2" s="1"/>
  <c r="C41" i="2" s="1" a="1"/>
  <c r="C41" i="2" s="1"/>
  <c r="C42" i="2" s="1" a="1"/>
  <c r="C42" i="2" s="1"/>
  <c r="C43" i="2" s="1" a="1"/>
  <c r="C43" i="2" s="1"/>
  <c r="C44" i="2" s="1" a="1"/>
  <c r="C44" i="2" s="1"/>
  <c r="C45" i="2" s="1" a="1"/>
  <c r="C45" i="2" s="1"/>
  <c r="C46" i="2" s="1" a="1"/>
  <c r="C46" i="2" s="1"/>
  <c r="C47" i="2" s="1" a="1"/>
  <c r="C47" i="2" s="1"/>
  <c r="Q60" i="1" l="1"/>
  <c r="P60" i="1" s="1"/>
  <c r="N61" i="1"/>
  <c r="M61" i="1"/>
  <c r="Q61" i="1" l="1"/>
  <c r="P61" i="1" s="1"/>
</calcChain>
</file>

<file path=xl/sharedStrings.xml><?xml version="1.0" encoding="utf-8"?>
<sst xmlns="http://schemas.openxmlformats.org/spreadsheetml/2006/main" count="220" uniqueCount="133">
  <si>
    <t>Addition #1</t>
  </si>
  <si>
    <t>Name</t>
  </si>
  <si>
    <t>Final added</t>
  </si>
  <si>
    <t>Stock</t>
  </si>
  <si>
    <t>unit</t>
  </si>
  <si>
    <t>Addition #2</t>
  </si>
  <si>
    <t>Starting assay volume (ul)</t>
  </si>
  <si>
    <t>Addition paradigm:</t>
  </si>
  <si>
    <t>minus (ul)</t>
  </si>
  <si>
    <t>then plus (ul)</t>
  </si>
  <si>
    <t>dilution=</t>
  </si>
  <si>
    <t>ul</t>
  </si>
  <si>
    <t>medium</t>
  </si>
  <si>
    <t>Transfer from #1</t>
  </si>
  <si>
    <t>Transfer from #2</t>
  </si>
  <si>
    <t>A1</t>
  </si>
  <si>
    <t>B1</t>
  </si>
  <si>
    <t>C1</t>
  </si>
  <si>
    <t>D1</t>
  </si>
  <si>
    <t>E1</t>
  </si>
  <si>
    <t>F1</t>
  </si>
  <si>
    <t>A2</t>
  </si>
  <si>
    <t>B2</t>
  </si>
  <si>
    <t>C2</t>
  </si>
  <si>
    <t>D2</t>
  </si>
  <si>
    <t>E2</t>
  </si>
  <si>
    <t>F2</t>
  </si>
  <si>
    <t>A3</t>
  </si>
  <si>
    <t>B3</t>
  </si>
  <si>
    <t>C3</t>
  </si>
  <si>
    <t>D3</t>
  </si>
  <si>
    <t>E3</t>
  </si>
  <si>
    <t>F3</t>
  </si>
  <si>
    <t>Needed:</t>
  </si>
  <si>
    <t>Prepare</t>
  </si>
  <si>
    <t>Name (use =and pick cell from column B)</t>
  </si>
  <si>
    <t>reagent (ul)</t>
  </si>
  <si>
    <t>medium (ul)</t>
  </si>
  <si>
    <t>DO NOT EDIT!</t>
  </si>
  <si>
    <t>Automatic Tally (DO NOT EDIT)</t>
  </si>
  <si>
    <t>ul drug</t>
  </si>
  <si>
    <t>ul medium</t>
  </si>
  <si>
    <t>DO NOT USE CUT (Ctrl-X) TO EDIT THE ABOVE LIST!</t>
  </si>
  <si>
    <t>Image Analyst List (paste position list below to column A)</t>
  </si>
  <si>
    <t>A1_2</t>
  </si>
  <si>
    <t>A1_1</t>
  </si>
  <si>
    <t>B1_1</t>
  </si>
  <si>
    <t>B1_2</t>
  </si>
  <si>
    <t>C1_2</t>
  </si>
  <si>
    <t>C1_1</t>
  </si>
  <si>
    <t>D1_1</t>
  </si>
  <si>
    <t>D1_2</t>
  </si>
  <si>
    <t>E1_2</t>
  </si>
  <si>
    <t>E1_1</t>
  </si>
  <si>
    <t>F1_1</t>
  </si>
  <si>
    <t>F1_2</t>
  </si>
  <si>
    <t>A2_1</t>
  </si>
  <si>
    <t>A2_2</t>
  </si>
  <si>
    <t>A3_2</t>
  </si>
  <si>
    <t>A3_1</t>
  </si>
  <si>
    <t>B3_1</t>
  </si>
  <si>
    <t>B3_2</t>
  </si>
  <si>
    <t>B2_2</t>
  </si>
  <si>
    <t>B2_1</t>
  </si>
  <si>
    <t>C2_1</t>
  </si>
  <si>
    <t>C2_2</t>
  </si>
  <si>
    <t>C3_2</t>
  </si>
  <si>
    <t>C3_1</t>
  </si>
  <si>
    <t>D3_1</t>
  </si>
  <si>
    <t>D3_2</t>
  </si>
  <si>
    <t>D2_2</t>
  </si>
  <si>
    <t>D2_1</t>
  </si>
  <si>
    <t>E2_1</t>
  </si>
  <si>
    <t>E2_2</t>
  </si>
  <si>
    <t>E3_2</t>
  </si>
  <si>
    <t>E3_1</t>
  </si>
  <si>
    <t>F3_1</t>
  </si>
  <si>
    <t>F3_2</t>
  </si>
  <si>
    <t>F2_2</t>
  </si>
  <si>
    <t>F2_1</t>
  </si>
  <si>
    <t>x</t>
  </si>
  <si>
    <t>nM</t>
  </si>
  <si>
    <t>ug/ml</t>
  </si>
  <si>
    <t>mM</t>
  </si>
  <si>
    <t>Glucose</t>
  </si>
  <si>
    <t>Oligom</t>
  </si>
  <si>
    <t>A</t>
  </si>
  <si>
    <t>B</t>
  </si>
  <si>
    <t>C</t>
  </si>
  <si>
    <t>D</t>
  </si>
  <si>
    <t>E</t>
  </si>
  <si>
    <t>F</t>
  </si>
  <si>
    <t>Copy and paste this layout to Onenote and add checkboxes</t>
  </si>
  <si>
    <t>1 (first addition)</t>
  </si>
  <si>
    <t>6 (second addition)</t>
  </si>
  <si>
    <t>Reservoir Plate Layout</t>
  </si>
  <si>
    <t>#</t>
  </si>
  <si>
    <t>Transfer 2x175ul from #1-&gt;#2
Add 280ul for -90/+90 addition</t>
  </si>
  <si>
    <t>E4</t>
  </si>
  <si>
    <t>F4</t>
  </si>
  <si>
    <t>A4_2</t>
  </si>
  <si>
    <t>A4_1</t>
  </si>
  <si>
    <t>B4_1</t>
  </si>
  <si>
    <t>B4_2</t>
  </si>
  <si>
    <t>C4_1</t>
  </si>
  <si>
    <t>C4_2</t>
  </si>
  <si>
    <t>D4_1</t>
  </si>
  <si>
    <t>D4_2</t>
  </si>
  <si>
    <t>E4_2</t>
  </si>
  <si>
    <t>E4_1</t>
  </si>
  <si>
    <t>F4_2</t>
  </si>
  <si>
    <t>F4_1</t>
  </si>
  <si>
    <t>def</t>
  </si>
  <si>
    <t>Max reservoir volumes for additions #1, 2, 3 (ul)=</t>
  </si>
  <si>
    <t>Final reservoir volumes for additions #1, 2, 3 (ul)=</t>
  </si>
  <si>
    <t>Addition #1       make it in volume=</t>
  </si>
  <si>
    <t>Addition #2   make it in volume=</t>
  </si>
  <si>
    <t>Addition #3  make it in volume=</t>
  </si>
  <si>
    <t>Possible units above: nM, uM, mM, ug/ml, mg/ml, x</t>
  </si>
  <si>
    <t>Final and stock concentrations are in the same units</t>
  </si>
  <si>
    <t>.</t>
  </si>
  <si>
    <t>Dilution for -90/+90 addition</t>
  </si>
  <si>
    <t>Resort  by L, (B-N)</t>
  </si>
  <si>
    <t>Sort first each genotype for M (sorting only B-M).</t>
  </si>
  <si>
    <t xml:space="preserve"> Then sort everything by N</t>
  </si>
  <si>
    <t>DMSO</t>
  </si>
  <si>
    <t>Glucose+FCCP</t>
  </si>
  <si>
    <t>A4</t>
  </si>
  <si>
    <t>B4</t>
  </si>
  <si>
    <t>C4</t>
  </si>
  <si>
    <t>D4</t>
  </si>
  <si>
    <t>veh</t>
  </si>
  <si>
    <t>Version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</si>
</sst>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5" xfId="0" applyBorder="1"/>
    <xf numFmtId="0" fontId="1" fillId="6" borderId="5" xfId="0" applyFont="1" applyFill="1" applyBorder="1"/>
    <xf numFmtId="0" fontId="3" fillId="0" borderId="0" xfId="0" applyFont="1"/>
    <xf numFmtId="0" fontId="3" fillId="2" borderId="0" xfId="0" applyFont="1" applyFill="1"/>
    <xf numFmtId="0" fontId="3" fillId="6" borderId="2" xfId="0" applyFont="1" applyFill="1" applyBorder="1"/>
    <xf numFmtId="0" fontId="5" fillId="6" borderId="0" xfId="0" applyFont="1" applyFill="1"/>
    <xf numFmtId="0" fontId="3" fillId="6" borderId="5" xfId="0" applyFont="1" applyFill="1" applyBorder="1"/>
    <xf numFmtId="0" fontId="3" fillId="7" borderId="0" xfId="0" applyFont="1" applyFill="1"/>
    <xf numFmtId="0" fontId="6" fillId="0" borderId="0" xfId="0" applyFont="1"/>
    <xf numFmtId="0" fontId="7" fillId="0" borderId="0" xfId="0" applyFont="1"/>
    <xf numFmtId="0" fontId="3" fillId="5" borderId="16" xfId="0" applyFont="1" applyFill="1" applyBorder="1"/>
    <xf numFmtId="0" fontId="3" fillId="5" borderId="17" xfId="0" applyFont="1" applyFill="1" applyBorder="1"/>
    <xf numFmtId="0" fontId="7" fillId="5" borderId="17" xfId="0" applyFont="1" applyFill="1" applyBorder="1"/>
    <xf numFmtId="0" fontId="7" fillId="5" borderId="18" xfId="0" applyFont="1" applyFill="1" applyBorder="1"/>
    <xf numFmtId="0" fontId="5" fillId="0" borderId="19" xfId="0" applyFont="1" applyBorder="1"/>
    <xf numFmtId="0" fontId="4" fillId="0" borderId="0" xfId="0" applyFont="1"/>
    <xf numFmtId="0" fontId="7" fillId="0" borderId="20" xfId="0" applyFont="1" applyBorder="1"/>
    <xf numFmtId="2" fontId="3" fillId="2" borderId="2" xfId="0" applyNumberFormat="1" applyFont="1" applyFill="1" applyBorder="1"/>
    <xf numFmtId="2" fontId="7" fillId="2" borderId="2" xfId="0" applyNumberFormat="1" applyFont="1" applyFill="1" applyBorder="1"/>
    <xf numFmtId="2" fontId="7" fillId="2" borderId="3" xfId="0" applyNumberFormat="1" applyFont="1" applyFill="1" applyBorder="1"/>
    <xf numFmtId="0" fontId="5" fillId="0" borderId="1" xfId="0" applyFont="1" applyBorder="1"/>
    <xf numFmtId="0" fontId="3" fillId="0" borderId="2" xfId="0" applyFont="1" applyBorder="1"/>
    <xf numFmtId="2" fontId="7" fillId="0" borderId="2" xfId="0" applyNumberFormat="1" applyFont="1" applyBorder="1"/>
    <xf numFmtId="0" fontId="7" fillId="0" borderId="3" xfId="0" applyFont="1" applyBorder="1"/>
    <xf numFmtId="1" fontId="3" fillId="2" borderId="7" xfId="0" applyNumberFormat="1" applyFont="1" applyFill="1" applyBorder="1"/>
    <xf numFmtId="1" fontId="7" fillId="2" borderId="7" xfId="0" applyNumberFormat="1" applyFont="1" applyFill="1" applyBorder="1"/>
    <xf numFmtId="1" fontId="7" fillId="2" borderId="8" xfId="0" applyNumberFormat="1" applyFont="1" applyFill="1" applyBorder="1"/>
    <xf numFmtId="0" fontId="5" fillId="0" borderId="4" xfId="0" applyFont="1" applyBorder="1"/>
    <xf numFmtId="0" fontId="3" fillId="0" borderId="5" xfId="0" applyFont="1" applyBorder="1"/>
    <xf numFmtId="2" fontId="7" fillId="0" borderId="5" xfId="0" applyNumberFormat="1" applyFont="1" applyBorder="1"/>
    <xf numFmtId="2" fontId="3" fillId="2" borderId="11" xfId="0" applyNumberFormat="1" applyFont="1" applyFill="1" applyBorder="1"/>
    <xf numFmtId="2" fontId="7" fillId="2" borderId="11" xfId="0" applyNumberFormat="1" applyFont="1" applyFill="1" applyBorder="1"/>
    <xf numFmtId="2" fontId="7" fillId="2" borderId="12" xfId="0" applyNumberFormat="1" applyFont="1" applyFill="1" applyBorder="1"/>
    <xf numFmtId="0" fontId="3" fillId="0" borderId="13" xfId="0" applyFont="1" applyBorder="1" applyAlignment="1">
      <alignment horizontal="center"/>
    </xf>
    <xf numFmtId="0" fontId="7" fillId="0" borderId="14" xfId="0" applyFont="1" applyBorder="1"/>
    <xf numFmtId="1" fontId="7" fillId="0" borderId="14" xfId="0" applyNumberFormat="1" applyFont="1" applyBorder="1"/>
    <xf numFmtId="1" fontId="7" fillId="0" borderId="15" xfId="0" applyNumberFormat="1" applyFont="1" applyBorder="1"/>
    <xf numFmtId="2" fontId="3" fillId="4" borderId="2" xfId="0" applyNumberFormat="1" applyFont="1" applyFill="1" applyBorder="1"/>
    <xf numFmtId="2" fontId="7" fillId="4" borderId="2" xfId="0" applyNumberFormat="1" applyFont="1" applyFill="1" applyBorder="1"/>
    <xf numFmtId="2" fontId="7" fillId="4" borderId="3" xfId="0" applyNumberFormat="1" applyFont="1" applyFill="1" applyBorder="1"/>
    <xf numFmtId="1" fontId="3" fillId="4" borderId="7" xfId="0" applyNumberFormat="1" applyFont="1" applyFill="1" applyBorder="1"/>
    <xf numFmtId="1" fontId="7" fillId="4" borderId="7" xfId="0" applyNumberFormat="1" applyFont="1" applyFill="1" applyBorder="1"/>
    <xf numFmtId="1" fontId="7" fillId="4" borderId="8" xfId="0" applyNumberFormat="1" applyFont="1" applyFill="1" applyBorder="1"/>
    <xf numFmtId="0" fontId="5" fillId="0" borderId="6" xfId="0" applyFont="1" applyBorder="1"/>
    <xf numFmtId="0" fontId="3" fillId="0" borderId="7" xfId="0" applyFont="1" applyBorder="1"/>
    <xf numFmtId="2" fontId="7" fillId="0" borderId="7" xfId="0" applyNumberFormat="1" applyFont="1" applyBorder="1"/>
    <xf numFmtId="2" fontId="3" fillId="3" borderId="2" xfId="0" applyNumberFormat="1" applyFont="1" applyFill="1" applyBorder="1"/>
    <xf numFmtId="2" fontId="7" fillId="3" borderId="2" xfId="0" applyNumberFormat="1" applyFont="1" applyFill="1" applyBorder="1"/>
    <xf numFmtId="2" fontId="7" fillId="3" borderId="3" xfId="0" applyNumberFormat="1" applyFont="1" applyFill="1" applyBorder="1"/>
    <xf numFmtId="1" fontId="3" fillId="3" borderId="7" xfId="0" applyNumberFormat="1" applyFont="1" applyFill="1" applyBorder="1"/>
    <xf numFmtId="1" fontId="7" fillId="3" borderId="7" xfId="0" applyNumberFormat="1" applyFont="1" applyFill="1" applyBorder="1"/>
    <xf numFmtId="1" fontId="7" fillId="3" borderId="8" xfId="0" applyNumberFormat="1" applyFont="1" applyFill="1" applyBorder="1"/>
    <xf numFmtId="0" fontId="1" fillId="6" borderId="3" xfId="0" applyFont="1" applyFill="1" applyBorder="1"/>
    <xf numFmtId="0" fontId="0" fillId="7" borderId="0" xfId="0" applyFill="1"/>
    <xf numFmtId="0" fontId="0" fillId="6" borderId="2" xfId="0" applyFill="1" applyBorder="1"/>
    <xf numFmtId="0" fontId="1" fillId="6" borderId="21" xfId="0" applyFont="1" applyFill="1" applyBorder="1"/>
    <xf numFmtId="0" fontId="0" fillId="2" borderId="2" xfId="0" applyFill="1" applyBorder="1"/>
    <xf numFmtId="0" fontId="1" fillId="2" borderId="21" xfId="0" applyFont="1" applyFill="1" applyBorder="1"/>
    <xf numFmtId="0" fontId="1" fillId="2" borderId="5" xfId="0" applyFont="1" applyFill="1" applyBorder="1"/>
    <xf numFmtId="0" fontId="2" fillId="6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6" borderId="2" xfId="0" applyFont="1" applyFill="1" applyBorder="1"/>
    <xf numFmtId="0" fontId="3" fillId="6" borderId="0" xfId="0" applyFont="1" applyFill="1"/>
    <xf numFmtId="0" fontId="4" fillId="2" borderId="0" xfId="0" applyFont="1" applyFill="1"/>
    <xf numFmtId="0" fontId="4" fillId="6" borderId="0" xfId="0" applyFont="1" applyFill="1"/>
    <xf numFmtId="0" fontId="4" fillId="7" borderId="0" xfId="0" applyFont="1" applyFill="1"/>
    <xf numFmtId="0" fontId="0" fillId="0" borderId="22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1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21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0" fillId="6" borderId="0" xfId="0" applyFill="1"/>
    <xf numFmtId="0" fontId="0" fillId="0" borderId="32" xfId="0" applyBorder="1"/>
    <xf numFmtId="0" fontId="0" fillId="0" borderId="31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37" xfId="0" applyBorder="1" applyAlignment="1">
      <alignment wrapText="1"/>
    </xf>
    <xf numFmtId="2" fontId="8" fillId="0" borderId="2" xfId="0" applyNumberFormat="1" applyFont="1" applyBorder="1"/>
    <xf numFmtId="2" fontId="8" fillId="0" borderId="3" xfId="0" applyNumberFormat="1" applyFont="1" applyBorder="1"/>
    <xf numFmtId="2" fontId="8" fillId="0" borderId="5" xfId="0" applyNumberFormat="1" applyFont="1" applyBorder="1"/>
    <xf numFmtId="2" fontId="8" fillId="0" borderId="21" xfId="0" applyNumberFormat="1" applyFont="1" applyBorder="1"/>
    <xf numFmtId="2" fontId="8" fillId="0" borderId="7" xfId="0" applyNumberFormat="1" applyFont="1" applyBorder="1"/>
    <xf numFmtId="2" fontId="8" fillId="0" borderId="8" xfId="0" applyNumberFormat="1" applyFon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35" xfId="0" applyNumberFormat="1" applyBorder="1"/>
    <xf numFmtId="0" fontId="0" fillId="0" borderId="38" xfId="0" applyBorder="1" applyAlignment="1">
      <alignment horizontal="center"/>
    </xf>
    <xf numFmtId="0" fontId="0" fillId="0" borderId="39" xfId="0" applyBorder="1"/>
    <xf numFmtId="0" fontId="0" fillId="0" borderId="40" xfId="0" applyBorder="1" applyAlignment="1">
      <alignment horizontal="center"/>
    </xf>
    <xf numFmtId="0" fontId="0" fillId="0" borderId="41" xfId="0" applyBorder="1"/>
    <xf numFmtId="2" fontId="0" fillId="0" borderId="3" xfId="0" applyNumberFormat="1" applyBorder="1"/>
    <xf numFmtId="2" fontId="0" fillId="0" borderId="21" xfId="0" applyNumberFormat="1" applyBorder="1"/>
    <xf numFmtId="2" fontId="0" fillId="0" borderId="8" xfId="0" applyNumberFormat="1" applyBorder="1"/>
    <xf numFmtId="1" fontId="0" fillId="2" borderId="7" xfId="0" applyNumberFormat="1" applyFill="1" applyBorder="1"/>
    <xf numFmtId="14" fontId="0" fillId="0" borderId="0" xfId="0" applyNumberFormat="1"/>
    <xf numFmtId="0" fontId="0" fillId="0" borderId="14" xfId="0" applyBorder="1"/>
    <xf numFmtId="0" fontId="3" fillId="0" borderId="0" xfId="0" applyFont="1" applyAlignment="1">
      <alignment horizontal="center"/>
    </xf>
    <xf numFmtId="2" fontId="0" fillId="0" borderId="14" xfId="0" applyNumberFormat="1" applyBorder="1"/>
    <xf numFmtId="0" fontId="0" fillId="2" borderId="0" xfId="0" applyFill="1"/>
    <xf numFmtId="0" fontId="0" fillId="8" borderId="0" xfId="0" applyFill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7" borderId="5" xfId="0" applyFont="1" applyFill="1" applyBorder="1"/>
    <xf numFmtId="0" fontId="1" fillId="8" borderId="5" xfId="0" applyFont="1" applyFill="1" applyBorder="1"/>
    <xf numFmtId="0" fontId="3" fillId="8" borderId="0" xfId="0" applyFont="1" applyFill="1"/>
    <xf numFmtId="0" fontId="4" fillId="8" borderId="0" xfId="0" applyFont="1" applyFill="1"/>
    <xf numFmtId="0" fontId="3" fillId="2" borderId="5" xfId="0" applyFont="1" applyFill="1" applyBorder="1"/>
    <xf numFmtId="0" fontId="0" fillId="2" borderId="5" xfId="0" applyFill="1" applyBorder="1"/>
    <xf numFmtId="0" fontId="2" fillId="2" borderId="5" xfId="0" applyFont="1" applyFill="1" applyBorder="1"/>
    <xf numFmtId="0" fontId="2" fillId="6" borderId="5" xfId="0" applyFont="1" applyFill="1" applyBorder="1"/>
    <xf numFmtId="0" fontId="0" fillId="6" borderId="5" xfId="0" applyFill="1" applyBorder="1"/>
    <xf numFmtId="0" fontId="3" fillId="7" borderId="5" xfId="0" applyFont="1" applyFill="1" applyBorder="1"/>
    <xf numFmtId="0" fontId="0" fillId="7" borderId="5" xfId="0" applyFill="1" applyBorder="1"/>
    <xf numFmtId="0" fontId="2" fillId="7" borderId="5" xfId="0" applyFont="1" applyFill="1" applyBorder="1"/>
    <xf numFmtId="0" fontId="0" fillId="8" borderId="5" xfId="0" applyFill="1" applyBorder="1"/>
    <xf numFmtId="0" fontId="3" fillId="8" borderId="5" xfId="0" applyFont="1" applyFill="1" applyBorder="1"/>
    <xf numFmtId="0" fontId="2" fillId="8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zoomScaleNormal="100" workbookViewId="0">
      <selection activeCell="F8" sqref="F8"/>
    </sheetView>
  </sheetViews>
  <sheetFormatPr defaultColWidth="9" defaultRowHeight="14.25" x14ac:dyDescent="0.45"/>
  <cols>
    <col min="1" max="1" width="13" style="5" customWidth="1"/>
    <col min="2" max="2" width="28.86328125" style="5" customWidth="1"/>
    <col min="3" max="3" width="11.86328125" style="5" customWidth="1"/>
    <col min="4" max="4" width="25.1328125" style="5" customWidth="1"/>
    <col min="5" max="5" width="11.1328125" style="5" customWidth="1"/>
    <col min="6" max="6" width="21.1328125" style="5" customWidth="1"/>
    <col min="7" max="7" width="11.86328125" style="5" customWidth="1"/>
    <col min="8" max="8" width="18.1328125" style="5" customWidth="1"/>
    <col min="9" max="9" width="9" style="5"/>
    <col min="10" max="10" width="9.1328125" style="5" customWidth="1"/>
    <col min="11" max="11" width="9" style="5"/>
    <col min="12" max="12" width="18.265625" style="5" customWidth="1"/>
    <col min="13" max="13" width="14.3984375" style="5" customWidth="1"/>
    <col min="14" max="14" width="13.86328125" style="5" customWidth="1"/>
    <col min="15" max="16" width="9" style="5"/>
    <col min="17" max="17" width="10.86328125" style="5" customWidth="1"/>
    <col min="18" max="16384" width="9" style="5"/>
  </cols>
  <sheetData>
    <row r="1" spans="1:17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5" t="s">
        <v>5</v>
      </c>
      <c r="H1" s="5" t="s">
        <v>1</v>
      </c>
      <c r="I1" s="5" t="s">
        <v>2</v>
      </c>
      <c r="J1" s="5" t="s">
        <v>3</v>
      </c>
      <c r="K1" s="5" t="s">
        <v>4</v>
      </c>
    </row>
    <row r="2" spans="1:17" s="6" customFormat="1" x14ac:dyDescent="0.45">
      <c r="A2" s="135" t="s">
        <v>15</v>
      </c>
      <c r="B2" s="136" t="s">
        <v>84</v>
      </c>
      <c r="C2" s="61">
        <v>13</v>
      </c>
      <c r="D2" s="61">
        <v>500</v>
      </c>
      <c r="E2" s="61" t="s">
        <v>83</v>
      </c>
      <c r="F2" s="135"/>
      <c r="G2" s="137" t="str">
        <f t="shared" ref="G2:G27" si="0">A2</f>
        <v>A1</v>
      </c>
      <c r="H2" s="136" t="s">
        <v>85</v>
      </c>
      <c r="I2" s="61">
        <v>2</v>
      </c>
      <c r="J2" s="61">
        <f t="shared" ref="J2:J3" si="1">4000*I2</f>
        <v>8000</v>
      </c>
      <c r="K2" s="61" t="s">
        <v>82</v>
      </c>
      <c r="L2" s="123"/>
      <c r="O2" s="67"/>
      <c r="P2" s="67"/>
    </row>
    <row r="3" spans="1:17" s="6" customFormat="1" x14ac:dyDescent="0.45">
      <c r="A3" s="135" t="s">
        <v>16</v>
      </c>
      <c r="B3" s="136" t="s">
        <v>126</v>
      </c>
      <c r="C3" s="61">
        <v>100</v>
      </c>
      <c r="D3" s="61">
        <v>120000</v>
      </c>
      <c r="E3" s="61" t="s">
        <v>81</v>
      </c>
      <c r="F3" s="136"/>
      <c r="G3" s="137" t="str">
        <f t="shared" si="0"/>
        <v>B1</v>
      </c>
      <c r="H3" s="136" t="s">
        <v>85</v>
      </c>
      <c r="I3" s="61">
        <v>2</v>
      </c>
      <c r="J3" s="61">
        <f t="shared" si="1"/>
        <v>8000</v>
      </c>
      <c r="K3" s="61" t="s">
        <v>82</v>
      </c>
      <c r="L3" s="123"/>
      <c r="O3" s="67"/>
      <c r="P3" s="67"/>
    </row>
    <row r="4" spans="1:17" s="6" customFormat="1" x14ac:dyDescent="0.45">
      <c r="A4" s="135" t="s">
        <v>17</v>
      </c>
      <c r="B4" s="136"/>
      <c r="C4" s="61"/>
      <c r="D4" s="61"/>
      <c r="E4" s="61"/>
      <c r="F4" s="136"/>
      <c r="G4" s="137"/>
      <c r="H4" s="136"/>
      <c r="I4" s="61"/>
      <c r="J4" s="61"/>
      <c r="K4" s="61"/>
      <c r="L4" s="123"/>
      <c r="O4" s="67"/>
      <c r="P4" s="67"/>
    </row>
    <row r="5" spans="1:17" s="6" customFormat="1" x14ac:dyDescent="0.45">
      <c r="A5" s="135" t="s">
        <v>18</v>
      </c>
      <c r="B5" s="136"/>
      <c r="C5" s="61"/>
      <c r="D5" s="61"/>
      <c r="E5" s="61"/>
      <c r="F5" s="136"/>
      <c r="G5" s="137"/>
      <c r="H5" s="136"/>
      <c r="I5" s="61"/>
      <c r="J5" s="61"/>
      <c r="K5" s="61"/>
      <c r="L5" s="123"/>
      <c r="O5" s="67"/>
      <c r="P5" s="67"/>
    </row>
    <row r="6" spans="1:17" s="6" customFormat="1" x14ac:dyDescent="0.45">
      <c r="A6" s="135" t="s">
        <v>19</v>
      </c>
      <c r="B6" s="136"/>
      <c r="C6" s="61"/>
      <c r="D6" s="61"/>
      <c r="E6" s="61"/>
      <c r="F6" s="136"/>
      <c r="G6" s="137"/>
      <c r="H6" s="136"/>
      <c r="I6" s="61"/>
      <c r="J6" s="61"/>
      <c r="K6" s="61"/>
      <c r="L6" s="123"/>
      <c r="O6" s="67"/>
      <c r="P6" s="67"/>
    </row>
    <row r="7" spans="1:17" s="6" customFormat="1" x14ac:dyDescent="0.45">
      <c r="A7" s="135" t="s">
        <v>20</v>
      </c>
      <c r="B7" s="136"/>
      <c r="C7" s="61"/>
      <c r="D7" s="61"/>
      <c r="E7" s="61"/>
      <c r="F7" s="136"/>
      <c r="G7" s="137"/>
      <c r="H7" s="136"/>
      <c r="I7" s="61"/>
      <c r="J7" s="61"/>
      <c r="K7" s="61"/>
      <c r="L7" s="123"/>
      <c r="O7" s="67"/>
      <c r="P7" s="67"/>
    </row>
    <row r="8" spans="1:17" s="8" customFormat="1" ht="15.4" customHeight="1" x14ac:dyDescent="0.45">
      <c r="A8" s="138" t="s">
        <v>21</v>
      </c>
      <c r="B8" s="139"/>
      <c r="C8" s="4"/>
      <c r="D8" s="4"/>
      <c r="E8" s="4"/>
      <c r="F8" s="9"/>
      <c r="G8" s="138"/>
      <c r="H8" s="139"/>
      <c r="I8" s="4"/>
      <c r="J8" s="4"/>
      <c r="K8" s="4"/>
      <c r="L8" s="94"/>
      <c r="N8" s="66"/>
      <c r="O8" s="68"/>
      <c r="P8" s="68"/>
      <c r="Q8" s="66"/>
    </row>
    <row r="9" spans="1:17" s="8" customFormat="1" x14ac:dyDescent="0.45">
      <c r="A9" s="138" t="s">
        <v>22</v>
      </c>
      <c r="B9" s="139"/>
      <c r="C9" s="4"/>
      <c r="D9" s="4"/>
      <c r="E9" s="4"/>
      <c r="F9" s="139"/>
      <c r="G9" s="138"/>
      <c r="H9" s="139"/>
      <c r="I9" s="4"/>
      <c r="J9" s="4"/>
      <c r="K9" s="4"/>
      <c r="L9" s="94"/>
      <c r="N9" s="66"/>
      <c r="O9" s="68"/>
      <c r="P9" s="68"/>
      <c r="Q9" s="66"/>
    </row>
    <row r="10" spans="1:17" s="8" customFormat="1" x14ac:dyDescent="0.45">
      <c r="A10" s="138" t="s">
        <v>23</v>
      </c>
      <c r="B10" s="139"/>
      <c r="C10" s="4"/>
      <c r="D10" s="4"/>
      <c r="E10" s="4"/>
      <c r="F10" s="139"/>
      <c r="G10" s="138"/>
      <c r="H10" s="139"/>
      <c r="I10" s="4"/>
      <c r="J10" s="4"/>
      <c r="K10" s="4"/>
      <c r="L10" s="94"/>
      <c r="N10" s="66"/>
      <c r="O10" s="68"/>
      <c r="P10" s="68"/>
      <c r="Q10" s="66"/>
    </row>
    <row r="11" spans="1:17" s="8" customFormat="1" x14ac:dyDescent="0.45">
      <c r="A11" s="138" t="s">
        <v>24</v>
      </c>
      <c r="B11" s="139"/>
      <c r="C11" s="4"/>
      <c r="D11" s="4"/>
      <c r="E11" s="4"/>
      <c r="F11" s="139"/>
      <c r="G11" s="138"/>
      <c r="H11" s="139"/>
      <c r="I11" s="4"/>
      <c r="J11" s="4"/>
      <c r="K11" s="4"/>
      <c r="L11" s="94"/>
      <c r="N11" s="66"/>
      <c r="O11" s="68"/>
      <c r="P11" s="68"/>
      <c r="Q11" s="66"/>
    </row>
    <row r="12" spans="1:17" s="8" customFormat="1" x14ac:dyDescent="0.45">
      <c r="A12" s="138" t="s">
        <v>25</v>
      </c>
      <c r="B12" s="139"/>
      <c r="C12" s="4"/>
      <c r="D12" s="4"/>
      <c r="E12" s="4"/>
      <c r="F12" s="139"/>
      <c r="G12" s="138"/>
      <c r="H12" s="139"/>
      <c r="I12" s="4"/>
      <c r="J12" s="4"/>
      <c r="K12" s="4"/>
      <c r="L12" s="94"/>
      <c r="N12" s="66"/>
      <c r="O12" s="68"/>
      <c r="P12" s="68"/>
      <c r="Q12" s="66"/>
    </row>
    <row r="13" spans="1:17" s="8" customFormat="1" x14ac:dyDescent="0.45">
      <c r="A13" s="138" t="s">
        <v>26</v>
      </c>
      <c r="B13" s="139"/>
      <c r="C13" s="4"/>
      <c r="D13" s="4"/>
      <c r="E13" s="4"/>
      <c r="F13" s="139"/>
      <c r="G13" s="138"/>
      <c r="H13" s="139"/>
      <c r="I13" s="4"/>
      <c r="J13" s="4"/>
      <c r="K13" s="4"/>
      <c r="L13" s="94"/>
      <c r="N13" s="66"/>
      <c r="O13" s="68"/>
      <c r="P13" s="68"/>
      <c r="Q13" s="66"/>
    </row>
    <row r="14" spans="1:17" s="10" customFormat="1" x14ac:dyDescent="0.45">
      <c r="A14" s="140" t="s">
        <v>27</v>
      </c>
      <c r="B14" s="141"/>
      <c r="C14" s="131"/>
      <c r="D14" s="131"/>
      <c r="E14" s="131"/>
      <c r="F14" s="140"/>
      <c r="G14" s="142"/>
      <c r="H14" s="141"/>
      <c r="I14" s="131"/>
      <c r="J14" s="131"/>
      <c r="K14" s="131"/>
      <c r="L14" s="56"/>
      <c r="O14" s="69"/>
      <c r="P14" s="69"/>
    </row>
    <row r="15" spans="1:17" s="10" customFormat="1" x14ac:dyDescent="0.45">
      <c r="A15" s="140" t="s">
        <v>28</v>
      </c>
      <c r="B15" s="141"/>
      <c r="C15" s="131"/>
      <c r="D15" s="131"/>
      <c r="E15" s="131"/>
      <c r="F15" s="141"/>
      <c r="G15" s="142"/>
      <c r="H15" s="141"/>
      <c r="I15" s="131"/>
      <c r="J15" s="131"/>
      <c r="K15" s="131"/>
      <c r="L15" s="56"/>
      <c r="O15" s="69"/>
      <c r="P15" s="69"/>
    </row>
    <row r="16" spans="1:17" s="10" customFormat="1" x14ac:dyDescent="0.45">
      <c r="A16" s="140" t="s">
        <v>29</v>
      </c>
      <c r="B16" s="141"/>
      <c r="C16" s="131"/>
      <c r="D16" s="131"/>
      <c r="E16" s="131"/>
      <c r="F16" s="141"/>
      <c r="G16" s="142"/>
      <c r="H16" s="141"/>
      <c r="I16" s="131"/>
      <c r="J16" s="131"/>
      <c r="K16" s="131"/>
      <c r="L16" s="56"/>
      <c r="O16" s="69"/>
      <c r="P16" s="69"/>
    </row>
    <row r="17" spans="1:16" s="10" customFormat="1" x14ac:dyDescent="0.45">
      <c r="A17" s="140" t="s">
        <v>30</v>
      </c>
      <c r="B17" s="141"/>
      <c r="C17" s="131"/>
      <c r="D17" s="131"/>
      <c r="E17" s="131"/>
      <c r="F17" s="141"/>
      <c r="G17" s="142"/>
      <c r="H17" s="141"/>
      <c r="I17" s="131"/>
      <c r="J17" s="131"/>
      <c r="K17" s="131"/>
      <c r="L17" s="56"/>
      <c r="O17" s="69"/>
      <c r="P17" s="69"/>
    </row>
    <row r="18" spans="1:16" s="10" customFormat="1" x14ac:dyDescent="0.45">
      <c r="A18" s="140" t="s">
        <v>31</v>
      </c>
      <c r="B18" s="141"/>
      <c r="C18" s="131"/>
      <c r="D18" s="131"/>
      <c r="E18" s="131"/>
      <c r="F18" s="141"/>
      <c r="G18" s="142"/>
      <c r="H18" s="141"/>
      <c r="I18" s="131"/>
      <c r="J18" s="131"/>
      <c r="K18" s="131"/>
      <c r="L18" s="56"/>
      <c r="O18" s="69"/>
      <c r="P18" s="69"/>
    </row>
    <row r="19" spans="1:16" s="10" customFormat="1" x14ac:dyDescent="0.45">
      <c r="A19" s="140" t="s">
        <v>32</v>
      </c>
      <c r="B19" s="141"/>
      <c r="C19" s="131"/>
      <c r="D19" s="131"/>
      <c r="E19" s="131"/>
      <c r="F19" s="141"/>
      <c r="G19" s="142"/>
      <c r="H19" s="141"/>
      <c r="I19" s="131"/>
      <c r="J19" s="131"/>
      <c r="K19" s="131"/>
      <c r="L19" s="56"/>
      <c r="O19" s="69"/>
      <c r="P19" s="69"/>
    </row>
    <row r="20" spans="1:16" s="133" customFormat="1" x14ac:dyDescent="0.45">
      <c r="A20" s="143" t="s">
        <v>127</v>
      </c>
      <c r="B20" s="143"/>
      <c r="C20" s="132"/>
      <c r="D20" s="132"/>
      <c r="E20" s="132"/>
      <c r="F20" s="144"/>
      <c r="G20" s="145"/>
      <c r="H20" s="143"/>
      <c r="I20" s="132"/>
      <c r="J20" s="132"/>
      <c r="K20" s="132"/>
      <c r="L20" s="124"/>
      <c r="O20" s="134"/>
      <c r="P20" s="134"/>
    </row>
    <row r="21" spans="1:16" s="133" customFormat="1" x14ac:dyDescent="0.45">
      <c r="A21" s="143" t="s">
        <v>128</v>
      </c>
      <c r="B21" s="143"/>
      <c r="C21" s="132"/>
      <c r="D21" s="132"/>
      <c r="E21" s="132"/>
      <c r="F21" s="143"/>
      <c r="G21" s="145"/>
      <c r="H21" s="143"/>
      <c r="I21" s="132"/>
      <c r="J21" s="132"/>
      <c r="K21" s="132"/>
      <c r="L21" s="124"/>
      <c r="O21" s="134"/>
      <c r="P21" s="134"/>
    </row>
    <row r="22" spans="1:16" s="133" customFormat="1" x14ac:dyDescent="0.45">
      <c r="A22" s="143" t="s">
        <v>129</v>
      </c>
      <c r="B22" s="143"/>
      <c r="C22" s="132"/>
      <c r="D22" s="132"/>
      <c r="E22" s="132"/>
      <c r="F22" s="143"/>
      <c r="G22" s="145"/>
      <c r="H22" s="143"/>
      <c r="I22" s="132"/>
      <c r="J22" s="132"/>
      <c r="K22" s="132"/>
      <c r="L22" s="124"/>
      <c r="O22" s="134"/>
      <c r="P22" s="134"/>
    </row>
    <row r="23" spans="1:16" s="133" customFormat="1" x14ac:dyDescent="0.45">
      <c r="A23" s="143" t="s">
        <v>130</v>
      </c>
      <c r="B23" s="143"/>
      <c r="C23" s="132"/>
      <c r="D23" s="132"/>
      <c r="E23" s="132"/>
      <c r="F23" s="143"/>
      <c r="G23" s="145"/>
      <c r="H23" s="143"/>
      <c r="I23" s="132"/>
      <c r="J23" s="132"/>
      <c r="K23" s="132"/>
      <c r="L23" s="124"/>
      <c r="O23" s="134"/>
      <c r="P23" s="134"/>
    </row>
    <row r="24" spans="1:16" s="133" customFormat="1" x14ac:dyDescent="0.45">
      <c r="A24" s="143" t="s">
        <v>98</v>
      </c>
      <c r="B24" s="143"/>
      <c r="C24" s="132"/>
      <c r="D24" s="132"/>
      <c r="E24" s="132"/>
      <c r="F24" s="143"/>
      <c r="G24" s="145"/>
      <c r="H24" s="143"/>
      <c r="I24" s="132"/>
      <c r="J24" s="132"/>
      <c r="K24" s="132"/>
      <c r="L24" s="124"/>
      <c r="O24" s="134"/>
      <c r="P24" s="134"/>
    </row>
    <row r="25" spans="1:16" s="133" customFormat="1" x14ac:dyDescent="0.45">
      <c r="A25" s="143" t="s">
        <v>99</v>
      </c>
      <c r="B25" s="143"/>
      <c r="C25" s="132"/>
      <c r="D25" s="132"/>
      <c r="E25" s="132"/>
      <c r="F25" s="143"/>
      <c r="G25" s="145"/>
      <c r="H25" s="143"/>
      <c r="I25" s="132"/>
      <c r="J25" s="132"/>
      <c r="K25" s="132"/>
      <c r="L25" s="124"/>
      <c r="O25" s="134"/>
      <c r="P25" s="134"/>
    </row>
    <row r="26" spans="1:16" s="6" customFormat="1" x14ac:dyDescent="0.45">
      <c r="A26" s="136" t="s">
        <v>112</v>
      </c>
      <c r="B26" s="136" t="s">
        <v>84</v>
      </c>
      <c r="C26" s="61">
        <v>13</v>
      </c>
      <c r="D26" s="61">
        <v>500</v>
      </c>
      <c r="E26" s="61" t="s">
        <v>83</v>
      </c>
      <c r="F26" s="136"/>
      <c r="G26" s="137" t="str">
        <f t="shared" si="0"/>
        <v>def</v>
      </c>
      <c r="H26" s="136"/>
      <c r="I26" s="61"/>
      <c r="J26" s="61"/>
      <c r="K26" s="61"/>
      <c r="L26" s="123"/>
      <c r="O26" s="67"/>
      <c r="P26" s="67"/>
    </row>
    <row r="27" spans="1:16" s="6" customFormat="1" x14ac:dyDescent="0.45">
      <c r="A27" s="136" t="s">
        <v>131</v>
      </c>
      <c r="B27" s="137" t="s">
        <v>125</v>
      </c>
      <c r="C27" s="61">
        <v>1</v>
      </c>
      <c r="D27" s="61">
        <v>4000</v>
      </c>
      <c r="E27" s="61" t="s">
        <v>80</v>
      </c>
      <c r="F27" s="136"/>
      <c r="G27" s="137" t="str">
        <f t="shared" si="0"/>
        <v>veh</v>
      </c>
      <c r="H27" s="136"/>
      <c r="I27" s="61"/>
      <c r="J27" s="61"/>
      <c r="K27" s="61"/>
      <c r="L27" s="123"/>
      <c r="O27" s="67"/>
      <c r="P27" s="67"/>
    </row>
    <row r="28" spans="1:16" s="6" customFormat="1" x14ac:dyDescent="0.45">
      <c r="A28" s="136"/>
      <c r="B28" s="136"/>
      <c r="C28" s="61"/>
      <c r="D28" s="61"/>
      <c r="E28" s="61"/>
      <c r="F28" s="136"/>
      <c r="G28" s="137"/>
      <c r="H28" s="136"/>
      <c r="I28" s="61"/>
      <c r="J28" s="61"/>
      <c r="K28" s="61"/>
      <c r="L28" s="123"/>
      <c r="O28" s="67"/>
      <c r="P28" s="67"/>
    </row>
    <row r="29" spans="1:16" s="6" customFormat="1" x14ac:dyDescent="0.45">
      <c r="A29" s="136"/>
      <c r="B29" s="136"/>
      <c r="C29" s="61"/>
      <c r="D29" s="61"/>
      <c r="E29" s="61"/>
      <c r="F29" s="136"/>
      <c r="G29" s="137"/>
      <c r="H29" s="136"/>
      <c r="I29" s="61"/>
      <c r="J29" s="61"/>
      <c r="K29" s="61"/>
      <c r="L29" s="123"/>
      <c r="O29" s="67"/>
      <c r="P29" s="67"/>
    </row>
    <row r="30" spans="1:16" x14ac:dyDescent="0.45">
      <c r="A30" s="11" t="s">
        <v>42</v>
      </c>
      <c r="D30" t="s">
        <v>118</v>
      </c>
      <c r="G30" t="s">
        <v>119</v>
      </c>
    </row>
    <row r="31" spans="1:16" x14ac:dyDescent="0.45">
      <c r="A31" s="5" t="s">
        <v>6</v>
      </c>
      <c r="C31" s="1">
        <v>100</v>
      </c>
    </row>
    <row r="32" spans="1:16" x14ac:dyDescent="0.45">
      <c r="A32" s="5" t="s">
        <v>7</v>
      </c>
      <c r="C32" s="5" t="s">
        <v>8</v>
      </c>
      <c r="D32" s="1">
        <v>50</v>
      </c>
      <c r="E32" s="5" t="s">
        <v>9</v>
      </c>
      <c r="F32" s="1">
        <v>50</v>
      </c>
      <c r="H32" s="5" t="s">
        <v>10</v>
      </c>
      <c r="I32" s="5">
        <f>(C31-D32+F32)/F32</f>
        <v>2</v>
      </c>
      <c r="J32" s="5">
        <f>I32</f>
        <v>2</v>
      </c>
      <c r="K32" s="5">
        <f>J32</f>
        <v>2</v>
      </c>
    </row>
    <row r="33" spans="1:17" ht="14.65" thickBot="1" x14ac:dyDescent="0.5">
      <c r="A33" t="s">
        <v>113</v>
      </c>
      <c r="B33" s="12"/>
      <c r="C33" s="1">
        <v>200</v>
      </c>
      <c r="E33" s="1">
        <v>150</v>
      </c>
      <c r="G33" s="1">
        <v>0</v>
      </c>
      <c r="H33" t="s">
        <v>11</v>
      </c>
    </row>
    <row r="34" spans="1:17" x14ac:dyDescent="0.45">
      <c r="A34" t="s">
        <v>114</v>
      </c>
      <c r="B34" s="12"/>
      <c r="C34" s="5">
        <f>C33-E33/2-G33/4</f>
        <v>125</v>
      </c>
      <c r="E34" s="5">
        <f>E35+E87</f>
        <v>150</v>
      </c>
      <c r="G34" s="5">
        <f>G33</f>
        <v>0</v>
      </c>
      <c r="J34" s="13" t="s">
        <v>39</v>
      </c>
      <c r="K34" s="14"/>
      <c r="L34" s="14"/>
      <c r="M34" s="14" t="s">
        <v>33</v>
      </c>
      <c r="N34" s="14"/>
      <c r="O34" s="14"/>
      <c r="P34" s="15" t="s">
        <v>34</v>
      </c>
      <c r="Q34" s="16"/>
    </row>
    <row r="35" spans="1:17" ht="14.65" thickBot="1" x14ac:dyDescent="0.5">
      <c r="A35" s="5" t="s">
        <v>38</v>
      </c>
      <c r="B35" t="s">
        <v>115</v>
      </c>
      <c r="C35" s="5">
        <f>C33</f>
        <v>200</v>
      </c>
      <c r="D35" t="s">
        <v>116</v>
      </c>
      <c r="E35">
        <f>$E$33-SUM($E$87:$E$88)</f>
        <v>75</v>
      </c>
      <c r="F35" t="s">
        <v>117</v>
      </c>
      <c r="G35" s="5">
        <f>$G$33-SUM($G$87:$G$88)</f>
        <v>0</v>
      </c>
      <c r="H35"/>
      <c r="J35" s="17" t="s">
        <v>35</v>
      </c>
      <c r="K35" s="18"/>
      <c r="L35" s="18"/>
      <c r="M35" s="5" t="s">
        <v>36</v>
      </c>
      <c r="N35" s="5" t="s">
        <v>37</v>
      </c>
      <c r="P35" s="12" t="s">
        <v>40</v>
      </c>
      <c r="Q35" s="19" t="s">
        <v>41</v>
      </c>
    </row>
    <row r="36" spans="1:17" ht="14.65" thickBot="1" x14ac:dyDescent="0.5">
      <c r="A36" s="129" t="str">
        <f>A2</f>
        <v>A1</v>
      </c>
      <c r="B36" s="20" t="str">
        <f>B2&amp;" "&amp;SUBSTITUTE(SUBSTITUTE(SUBSTITUTE(D2&amp;E2,"000nM","uM"),"000uM","mM"),"000ug","mg")&amp;" "&amp;ROUND(1/(C37/C36+1),5)&amp;"x"</f>
        <v>Glucose 500mM 0.052x</v>
      </c>
      <c r="C36" s="21">
        <f>$I$32*C2/D2*$C$33</f>
        <v>10.4</v>
      </c>
      <c r="D36" s="20" t="str">
        <f>H2&amp;" "&amp;SUBSTITUTE(SUBSTITUTE(SUBSTITUTE(J2&amp;K2,"000nM","uM"),"000uM","mM"),"000ug","mg")&amp;" "&amp;ROUND(1/(E37/E36+1),5)&amp;"x"</f>
        <v>Oligom 8mg/ml 0.001x</v>
      </c>
      <c r="E36" s="21">
        <f>$I$32*I2/J2*$E$33</f>
        <v>7.4999999999999997E-2</v>
      </c>
      <c r="F36" s="20" t="e">
        <f>N2&amp;" "&amp;SUBSTITUTE(SUBSTITUTE(SUBSTITUTE(P2&amp;Q2,"000nM","uM"),"000uM","mM"),"000ug","mg")&amp;" "&amp;ROUND(1/(G37/G36+1),5)&amp;"x"</f>
        <v>#DIV/0!</v>
      </c>
      <c r="G36" s="22" t="e">
        <f>$K$32*O2/P2*$G$33</f>
        <v>#DIV/0!</v>
      </c>
      <c r="H36" t="s">
        <v>132</v>
      </c>
      <c r="J36" s="23" t="str">
        <f>Tally!C2</f>
        <v>Glucose 500mM 0.052x</v>
      </c>
      <c r="K36" s="24"/>
      <c r="L36" s="24"/>
      <c r="M36" s="24">
        <f ca="1">SUMIF($B$36:$F$86,J36,$C$36:$G$85)</f>
        <v>10.4</v>
      </c>
      <c r="N36" s="24">
        <f ca="1">SUMIF($B$36:$F$85,J36,$C$37:$G$85)</f>
        <v>189.6</v>
      </c>
      <c r="O36" s="24"/>
      <c r="P36" s="25">
        <f ca="1">M36/N36*Q36</f>
        <v>27.426160337552744</v>
      </c>
      <c r="Q36" s="26">
        <f ca="1">ROUND(MAX(1.1*N36,0.5*N36/M36)/500+0.5,0)*500</f>
        <v>500</v>
      </c>
    </row>
    <row r="37" spans="1:17" ht="14.65" thickBot="1" x14ac:dyDescent="0.5">
      <c r="A37" s="130"/>
      <c r="B37" s="118" t="s">
        <v>12</v>
      </c>
      <c r="C37" s="28">
        <f>$C$33-C36</f>
        <v>189.6</v>
      </c>
      <c r="D37" s="27" t="s">
        <v>12</v>
      </c>
      <c r="E37" s="28">
        <f>$E$33-SUM($E$87:$E$88)-E36</f>
        <v>74.924999999999997</v>
      </c>
      <c r="F37" s="27" t="s">
        <v>12</v>
      </c>
      <c r="G37" s="29" t="e">
        <f>$G$33-SUM($G$87:$G$88)-G36</f>
        <v>#DIV/0!</v>
      </c>
      <c r="H37" s="119">
        <v>46234</v>
      </c>
      <c r="J37" s="30" t="str">
        <f>Tally!C3</f>
        <v>Glucose+FCCP 120uM 0.00167x</v>
      </c>
      <c r="K37" s="31"/>
      <c r="L37" s="31"/>
      <c r="M37" s="24">
        <f t="shared" ref="M37:M61" ca="1" si="2">SUMIF($B$36:$F$86,J37,$C$36:$G$85)</f>
        <v>0.33333333333333337</v>
      </c>
      <c r="N37" s="24">
        <f t="shared" ref="N37:N61" ca="1" si="3">SUMIF($B$36:$F$85,J37,$C$37:$G$85)</f>
        <v>199.66666666666666</v>
      </c>
      <c r="O37" s="31"/>
      <c r="P37" s="32">
        <f t="shared" ref="P37:P39" ca="1" si="4">M37/N37*Q37</f>
        <v>0.83472454090150261</v>
      </c>
      <c r="Q37" s="26">
        <f t="shared" ref="Q37:Q61" ca="1" si="5">ROUND(MAX(1.1*N37,0.5*N37/M37)/500+0.5,0)*500</f>
        <v>500</v>
      </c>
    </row>
    <row r="38" spans="1:17" ht="14.65" thickBot="1" x14ac:dyDescent="0.5">
      <c r="A38" s="129" t="str">
        <f>A3</f>
        <v>B1</v>
      </c>
      <c r="B38" s="20" t="str">
        <f>B3&amp;" "&amp;SUBSTITUTE(SUBSTITUTE(SUBSTITUTE(D3&amp;E3,"000nM","uM"),"000uM","mM"),"000ug","mg")&amp;" "&amp;ROUND(1/(C39/C38+1),5)&amp;"x"</f>
        <v>Glucose+FCCP 120uM 0.00167x</v>
      </c>
      <c r="C38" s="21">
        <f>$I$32*C3/D3*$C$33</f>
        <v>0.33333333333333337</v>
      </c>
      <c r="D38" s="20" t="str">
        <f>H3&amp;" "&amp;SUBSTITUTE(SUBSTITUTE(SUBSTITUTE(J3&amp;K3,"000nM","uM"),"000uM","mM"),"000ug","mg")&amp;" "&amp;ROUND(1/(E39/E38+1),5)&amp;"x"</f>
        <v>Oligom 8mg/ml 0.001x</v>
      </c>
      <c r="E38" s="21">
        <f>$I$32*I3/J3*$E$33</f>
        <v>7.4999999999999997E-2</v>
      </c>
      <c r="F38" s="20" t="e">
        <f>N3&amp;" "&amp;SUBSTITUTE(SUBSTITUTE(SUBSTITUTE(P3&amp;Q3,"000nM","uM"),"000uM","mM"),"000ug","mg")&amp;" "&amp;ROUND(1/(G39/G38+1),5)&amp;"x"</f>
        <v>#DIV/0!</v>
      </c>
      <c r="G38" s="22" t="e">
        <f>$K$32*O3/P3*$G$33</f>
        <v>#DIV/0!</v>
      </c>
      <c r="J38" s="30" t="str">
        <f>Tally!C4</f>
        <v>Oligom 8mg/ml 0.001x</v>
      </c>
      <c r="K38" s="31"/>
      <c r="L38" s="31"/>
      <c r="M38" s="24">
        <f t="shared" ca="1" si="2"/>
        <v>0.15</v>
      </c>
      <c r="N38" s="24">
        <f t="shared" ca="1" si="3"/>
        <v>149.85</v>
      </c>
      <c r="O38" s="31"/>
      <c r="P38" s="32">
        <f t="shared" ca="1" si="4"/>
        <v>0.50050050050050054</v>
      </c>
      <c r="Q38" s="26">
        <f t="shared" ca="1" si="5"/>
        <v>500</v>
      </c>
    </row>
    <row r="39" spans="1:17" ht="14.65" thickBot="1" x14ac:dyDescent="0.5">
      <c r="A39" s="130"/>
      <c r="B39" s="27" t="s">
        <v>12</v>
      </c>
      <c r="C39" s="28">
        <f>$C$33-C38</f>
        <v>199.66666666666666</v>
      </c>
      <c r="D39" s="27" t="s">
        <v>12</v>
      </c>
      <c r="E39" s="28">
        <f>$E$33-SUM($E$87:$E$88)-E38</f>
        <v>74.924999999999997</v>
      </c>
      <c r="F39" s="27" t="s">
        <v>12</v>
      </c>
      <c r="G39" s="29" t="e">
        <f>$G$33-SUM($G$87:$G$88)-G38</f>
        <v>#DIV/0!</v>
      </c>
      <c r="J39" s="30" t="str">
        <f>Tally!C5</f>
        <v/>
      </c>
      <c r="K39" s="31"/>
      <c r="L39" s="31"/>
      <c r="M39" s="24">
        <f t="shared" ca="1" si="2"/>
        <v>0</v>
      </c>
      <c r="N39" s="24" t="e">
        <f t="shared" ca="1" si="3"/>
        <v>#DIV/0!</v>
      </c>
      <c r="O39" s="31"/>
      <c r="P39" s="32" t="e">
        <f t="shared" ca="1" si="4"/>
        <v>#DIV/0!</v>
      </c>
      <c r="Q39" s="26" t="e">
        <f t="shared" ca="1" si="5"/>
        <v>#DIV/0!</v>
      </c>
    </row>
    <row r="40" spans="1:17" ht="14.65" thickBot="1" x14ac:dyDescent="0.5">
      <c r="A40" s="129" t="str">
        <f>A4</f>
        <v>C1</v>
      </c>
      <c r="B40" s="20" t="e">
        <f>B4&amp;" "&amp;SUBSTITUTE(SUBSTITUTE(SUBSTITUTE(D4&amp;E4,"000nM","uM"),"000uM","mM"),"000ug","mg")&amp;" "&amp;ROUND(1/(C41/C40+1),5)&amp;"x"</f>
        <v>#DIV/0!</v>
      </c>
      <c r="C40" s="21" t="e">
        <f>$I$32*C4/D4*$C$33</f>
        <v>#DIV/0!</v>
      </c>
      <c r="D40" s="20" t="e">
        <f>H4&amp;" "&amp;SUBSTITUTE(SUBSTITUTE(SUBSTITUTE(J4&amp;K4,"000nM","uM"),"000uM","mM"),"000ug","mg")&amp;" "&amp;ROUND(1/(E41/E40+1),5)&amp;"x"</f>
        <v>#DIV/0!</v>
      </c>
      <c r="E40" s="21" t="e">
        <f>$I$32*I4/J4*$E$33</f>
        <v>#DIV/0!</v>
      </c>
      <c r="F40" s="20" t="e">
        <f>N4&amp;" "&amp;SUBSTITUTE(SUBSTITUTE(SUBSTITUTE(P4&amp;Q4,"000nM","uM"),"000uM","mM"),"000ug","mg")&amp;" "&amp;ROUND(1/(G41/G40+1),5)&amp;"x"</f>
        <v>#DIV/0!</v>
      </c>
      <c r="G40" s="22" t="e">
        <f>$K$32*O4/P4*$G$33</f>
        <v>#DIV/0!</v>
      </c>
      <c r="J40" s="30" t="str">
        <f>Tally!C6</f>
        <v/>
      </c>
      <c r="K40" s="31"/>
      <c r="L40" s="31"/>
      <c r="M40" s="24">
        <f t="shared" ca="1" si="2"/>
        <v>0</v>
      </c>
      <c r="N40" s="24" t="e">
        <f t="shared" ca="1" si="3"/>
        <v>#DIV/0!</v>
      </c>
      <c r="O40" s="31"/>
      <c r="P40" s="32" t="e">
        <f t="shared" ref="P40:P51" ca="1" si="6">M40/N40*Q40</f>
        <v>#DIV/0!</v>
      </c>
      <c r="Q40" s="26" t="e">
        <f t="shared" ca="1" si="5"/>
        <v>#DIV/0!</v>
      </c>
    </row>
    <row r="41" spans="1:17" ht="14.65" thickBot="1" x14ac:dyDescent="0.5">
      <c r="A41" s="130"/>
      <c r="B41" s="27" t="s">
        <v>12</v>
      </c>
      <c r="C41" s="28" t="e">
        <f>$C$33-C40</f>
        <v>#DIV/0!</v>
      </c>
      <c r="D41" s="27" t="s">
        <v>12</v>
      </c>
      <c r="E41" s="28" t="e">
        <f>$E$33-SUM($E$87:$E$88)-E40</f>
        <v>#DIV/0!</v>
      </c>
      <c r="F41" s="27" t="s">
        <v>12</v>
      </c>
      <c r="G41" s="29" t="e">
        <f>$G$33-SUM($G$87:$G$88)-G40</f>
        <v>#DIV/0!</v>
      </c>
      <c r="J41" s="30" t="str">
        <f>Tally!C7</f>
        <v/>
      </c>
      <c r="K41" s="31"/>
      <c r="L41" s="31"/>
      <c r="M41" s="24">
        <f t="shared" ca="1" si="2"/>
        <v>0</v>
      </c>
      <c r="N41" s="24" t="e">
        <f t="shared" ca="1" si="3"/>
        <v>#DIV/0!</v>
      </c>
      <c r="O41" s="31"/>
      <c r="P41" s="32" t="e">
        <f t="shared" ca="1" si="6"/>
        <v>#DIV/0!</v>
      </c>
      <c r="Q41" s="26" t="e">
        <f t="shared" ca="1" si="5"/>
        <v>#DIV/0!</v>
      </c>
    </row>
    <row r="42" spans="1:17" ht="14.65" thickBot="1" x14ac:dyDescent="0.5">
      <c r="A42" s="129" t="str">
        <f>A5</f>
        <v>D1</v>
      </c>
      <c r="B42" s="20" t="e">
        <f>B5&amp;" "&amp;SUBSTITUTE(SUBSTITUTE(SUBSTITUTE(D5&amp;E5,"000nM","uM"),"000uM","mM"),"000ug","mg")&amp;" "&amp;ROUND(1/(C43/C42+1),5)&amp;"x"</f>
        <v>#DIV/0!</v>
      </c>
      <c r="C42" s="21" t="e">
        <f>$I$32*C5/D5*$C$33</f>
        <v>#DIV/0!</v>
      </c>
      <c r="D42" s="20" t="e">
        <f>H5&amp;" "&amp;SUBSTITUTE(SUBSTITUTE(SUBSTITUTE(J5&amp;K5,"000nM","uM"),"000uM","mM"),"000ug","mg")&amp;" "&amp;ROUND(1/(E43/E42+1),5)&amp;"x"</f>
        <v>#DIV/0!</v>
      </c>
      <c r="E42" s="21" t="e">
        <f>$I$32*I5/J5*$E$33</f>
        <v>#DIV/0!</v>
      </c>
      <c r="F42" s="20" t="e">
        <f>N5&amp;" "&amp;SUBSTITUTE(SUBSTITUTE(SUBSTITUTE(P5&amp;Q5,"000nM","uM"),"000uM","mM"),"000ug","mg")&amp;" "&amp;ROUND(1/(G43/G42+1),5)&amp;"x"</f>
        <v>#DIV/0!</v>
      </c>
      <c r="G42" s="22" t="e">
        <f>$K$32*O5/P5*$G$33</f>
        <v>#DIV/0!</v>
      </c>
      <c r="H42"/>
      <c r="J42" s="30" t="str">
        <f>Tally!C8</f>
        <v/>
      </c>
      <c r="K42" s="31"/>
      <c r="L42" s="31"/>
      <c r="M42" s="24">
        <f t="shared" ca="1" si="2"/>
        <v>0</v>
      </c>
      <c r="N42" s="24" t="e">
        <f t="shared" ca="1" si="3"/>
        <v>#DIV/0!</v>
      </c>
      <c r="O42" s="31"/>
      <c r="P42" s="32" t="e">
        <f t="shared" ca="1" si="6"/>
        <v>#DIV/0!</v>
      </c>
      <c r="Q42" s="26" t="e">
        <f t="shared" ca="1" si="5"/>
        <v>#DIV/0!</v>
      </c>
    </row>
    <row r="43" spans="1:17" ht="14.65" thickBot="1" x14ac:dyDescent="0.5">
      <c r="A43" s="130"/>
      <c r="B43" s="27" t="s">
        <v>12</v>
      </c>
      <c r="C43" s="28" t="e">
        <f>$C$33-C42</f>
        <v>#DIV/0!</v>
      </c>
      <c r="D43" s="27" t="s">
        <v>12</v>
      </c>
      <c r="E43" s="28" t="e">
        <f>$E$33-SUM($E$87:$E$88)-E42</f>
        <v>#DIV/0!</v>
      </c>
      <c r="F43" s="27" t="s">
        <v>12</v>
      </c>
      <c r="G43" s="29" t="e">
        <f>$G$33-SUM($G$87:$G$88)-G42</f>
        <v>#DIV/0!</v>
      </c>
      <c r="J43" s="30" t="str">
        <f>Tally!C9</f>
        <v/>
      </c>
      <c r="K43" s="31"/>
      <c r="L43" s="31"/>
      <c r="M43" s="24">
        <f t="shared" ca="1" si="2"/>
        <v>0</v>
      </c>
      <c r="N43" s="24" t="e">
        <f t="shared" ca="1" si="3"/>
        <v>#DIV/0!</v>
      </c>
      <c r="O43" s="31"/>
      <c r="P43" s="32" t="e">
        <f t="shared" ca="1" si="6"/>
        <v>#DIV/0!</v>
      </c>
      <c r="Q43" s="26" t="e">
        <f t="shared" ca="1" si="5"/>
        <v>#DIV/0!</v>
      </c>
    </row>
    <row r="44" spans="1:17" ht="14.65" thickBot="1" x14ac:dyDescent="0.5">
      <c r="A44" s="129" t="str">
        <f>A6</f>
        <v>E1</v>
      </c>
      <c r="B44" s="20" t="e">
        <f>B6&amp;" "&amp;SUBSTITUTE(SUBSTITUTE(SUBSTITUTE(D6&amp;E6,"000nM","uM"),"000uM","mM"),"000ug","mg")&amp;" "&amp;ROUND(1/(C45/C44+1),5)&amp;"x"</f>
        <v>#DIV/0!</v>
      </c>
      <c r="C44" s="21" t="e">
        <f>$I$32*C6/D6*$C$33</f>
        <v>#DIV/0!</v>
      </c>
      <c r="D44" s="20" t="e">
        <f>H6&amp;" "&amp;SUBSTITUTE(SUBSTITUTE(SUBSTITUTE(J6&amp;K6,"000nM","uM"),"000uM","mM"),"000ug","mg")&amp;" "&amp;ROUND(1/(E45/E44+1),5)&amp;"x"</f>
        <v>#DIV/0!</v>
      </c>
      <c r="E44" s="21" t="e">
        <f>$I$32*I6/J6*$E$33</f>
        <v>#DIV/0!</v>
      </c>
      <c r="F44" s="20" t="e">
        <f>N6&amp;" "&amp;SUBSTITUTE(SUBSTITUTE(SUBSTITUTE(P6&amp;Q6,"000nM","uM"),"000uM","mM"),"000ug","mg")&amp;" "&amp;ROUND(1/(G45/G44+1),5)&amp;"x"</f>
        <v>#DIV/0!</v>
      </c>
      <c r="G44" s="22" t="e">
        <f>$K$32*O6/P6*$G$33</f>
        <v>#DIV/0!</v>
      </c>
      <c r="J44" s="30" t="str">
        <f>Tally!C10</f>
        <v/>
      </c>
      <c r="K44" s="31"/>
      <c r="L44" s="31"/>
      <c r="M44" s="24">
        <f t="shared" ca="1" si="2"/>
        <v>0</v>
      </c>
      <c r="N44" s="24" t="e">
        <f t="shared" ca="1" si="3"/>
        <v>#DIV/0!</v>
      </c>
      <c r="O44" s="31"/>
      <c r="P44" s="32" t="e">
        <f t="shared" ca="1" si="6"/>
        <v>#DIV/0!</v>
      </c>
      <c r="Q44" s="26" t="e">
        <f t="shared" ca="1" si="5"/>
        <v>#DIV/0!</v>
      </c>
    </row>
    <row r="45" spans="1:17" ht="14.65" thickBot="1" x14ac:dyDescent="0.5">
      <c r="A45" s="130"/>
      <c r="B45" s="27" t="s">
        <v>12</v>
      </c>
      <c r="C45" s="28" t="e">
        <f>$C$33-C44</f>
        <v>#DIV/0!</v>
      </c>
      <c r="D45" s="27" t="s">
        <v>12</v>
      </c>
      <c r="E45" s="28" t="e">
        <f>$E$33-SUM($E$87:$E$88)-E44</f>
        <v>#DIV/0!</v>
      </c>
      <c r="F45" s="27" t="s">
        <v>12</v>
      </c>
      <c r="G45" s="29" t="e">
        <f>$G$33-SUM($G$87:$G$88)-G44</f>
        <v>#DIV/0!</v>
      </c>
      <c r="J45" s="30" t="str">
        <f>Tally!C11</f>
        <v/>
      </c>
      <c r="K45" s="31"/>
      <c r="L45" s="31"/>
      <c r="M45" s="24">
        <f t="shared" ca="1" si="2"/>
        <v>0</v>
      </c>
      <c r="N45" s="24" t="e">
        <f t="shared" ca="1" si="3"/>
        <v>#DIV/0!</v>
      </c>
      <c r="O45" s="31"/>
      <c r="P45" s="32" t="e">
        <f t="shared" ca="1" si="6"/>
        <v>#DIV/0!</v>
      </c>
      <c r="Q45" s="26" t="e">
        <f t="shared" ca="1" si="5"/>
        <v>#DIV/0!</v>
      </c>
    </row>
    <row r="46" spans="1:17" ht="14.65" thickBot="1" x14ac:dyDescent="0.5">
      <c r="A46" s="129" t="str">
        <f>A7</f>
        <v>F1</v>
      </c>
      <c r="B46" s="33" t="e">
        <f>B7&amp;" "&amp;SUBSTITUTE(SUBSTITUTE(SUBSTITUTE(D7&amp;E7,"000nM","uM"),"000uM","mM"),"000ug","mg")&amp;" "&amp;ROUND(1/(C47/C46+1),5)&amp;"x"</f>
        <v>#DIV/0!</v>
      </c>
      <c r="C46" s="34" t="e">
        <f>$I$32*C7/D7*$C$33</f>
        <v>#DIV/0!</v>
      </c>
      <c r="D46" s="33" t="e">
        <f>H7&amp;" "&amp;SUBSTITUTE(SUBSTITUTE(SUBSTITUTE(J7&amp;K7,"000nM","uM"),"000uM","mM"),"000ug","mg")&amp;" "&amp;ROUND(1/(E47/E46+1),5)&amp;"x"</f>
        <v>#DIV/0!</v>
      </c>
      <c r="E46" s="34" t="e">
        <f>$I$32*I7/J7*$E$33</f>
        <v>#DIV/0!</v>
      </c>
      <c r="F46" s="33" t="e">
        <f>N7&amp;" "&amp;SUBSTITUTE(SUBSTITUTE(SUBSTITUTE(P7&amp;Q7,"000nM","uM"),"000uM","mM"),"000ug","mg")&amp;" "&amp;ROUND(1/(G47/G46+1),5)&amp;"x"</f>
        <v>#DIV/0!</v>
      </c>
      <c r="G46" s="35" t="e">
        <f>$K$32*O7/P7*$G$33</f>
        <v>#DIV/0!</v>
      </c>
      <c r="J46" s="30" t="str">
        <f>Tally!C12</f>
        <v/>
      </c>
      <c r="K46" s="31"/>
      <c r="L46" s="31"/>
      <c r="M46" s="24">
        <f t="shared" ca="1" si="2"/>
        <v>0</v>
      </c>
      <c r="N46" s="24" t="e">
        <f t="shared" ca="1" si="3"/>
        <v>#DIV/0!</v>
      </c>
      <c r="O46" s="31"/>
      <c r="P46" s="32" t="e">
        <f t="shared" ca="1" si="6"/>
        <v>#DIV/0!</v>
      </c>
      <c r="Q46" s="26" t="e">
        <f t="shared" ca="1" si="5"/>
        <v>#DIV/0!</v>
      </c>
    </row>
    <row r="47" spans="1:17" ht="14.65" thickBot="1" x14ac:dyDescent="0.5">
      <c r="A47" s="130"/>
      <c r="B47" s="27" t="s">
        <v>12</v>
      </c>
      <c r="C47" s="28" t="e">
        <f>$C$33-C46</f>
        <v>#DIV/0!</v>
      </c>
      <c r="D47" s="27" t="s">
        <v>12</v>
      </c>
      <c r="E47" s="28" t="e">
        <f>$E$33-SUM($E$87:$E$88)-E46</f>
        <v>#DIV/0!</v>
      </c>
      <c r="F47" s="27" t="s">
        <v>12</v>
      </c>
      <c r="G47" s="29" t="e">
        <f>$G$33-SUM($G$87:$G$88)-G46</f>
        <v>#DIV/0!</v>
      </c>
      <c r="J47" s="30" t="str">
        <f>Tally!C13</f>
        <v/>
      </c>
      <c r="K47" s="31"/>
      <c r="L47" s="31"/>
      <c r="M47" s="24">
        <f t="shared" ca="1" si="2"/>
        <v>0</v>
      </c>
      <c r="N47" s="24" t="e">
        <f t="shared" ca="1" si="3"/>
        <v>#DIV/0!</v>
      </c>
      <c r="O47" s="31"/>
      <c r="P47" s="32" t="e">
        <f t="shared" ca="1" si="6"/>
        <v>#DIV/0!</v>
      </c>
      <c r="Q47" s="26" t="e">
        <f t="shared" ca="1" si="5"/>
        <v>#DIV/0!</v>
      </c>
    </row>
    <row r="48" spans="1:17" ht="14.65" thickBot="1" x14ac:dyDescent="0.5">
      <c r="A48" s="36"/>
      <c r="B48" s="120" t="s">
        <v>120</v>
      </c>
      <c r="C48" s="37"/>
      <c r="D48" s="120" t="s">
        <v>120</v>
      </c>
      <c r="E48" s="38"/>
      <c r="F48" s="120" t="s">
        <v>120</v>
      </c>
      <c r="G48" s="39"/>
      <c r="J48" s="30" t="str">
        <f>Tally!C14</f>
        <v/>
      </c>
      <c r="K48" s="31"/>
      <c r="L48" s="31"/>
      <c r="M48" s="24">
        <f t="shared" ca="1" si="2"/>
        <v>0</v>
      </c>
      <c r="N48" s="24" t="e">
        <f t="shared" ca="1" si="3"/>
        <v>#DIV/0!</v>
      </c>
      <c r="O48" s="31"/>
      <c r="P48" s="32" t="e">
        <f t="shared" ca="1" si="6"/>
        <v>#DIV/0!</v>
      </c>
      <c r="Q48" s="26" t="e">
        <f t="shared" ca="1" si="5"/>
        <v>#DIV/0!</v>
      </c>
    </row>
    <row r="49" spans="1:17" ht="14.65" thickBot="1" x14ac:dyDescent="0.5">
      <c r="A49" s="127" t="str">
        <f>A8</f>
        <v>A2</v>
      </c>
      <c r="B49" s="40" t="e">
        <f>B8&amp;" "&amp;SUBSTITUTE(SUBSTITUTE(SUBSTITUTE(D8&amp;E8,"000nM","uM"),"000uM","mM"),"000ug","mg")&amp;" "&amp;ROUND(1/(C50/C49+1),5)&amp;"x"</f>
        <v>#DIV/0!</v>
      </c>
      <c r="C49" s="41" t="e">
        <f>$I$32*C8/D8*$C$33</f>
        <v>#DIV/0!</v>
      </c>
      <c r="D49" s="40" t="e">
        <f>H8&amp;" "&amp;SUBSTITUTE(SUBSTITUTE(SUBSTITUTE(J8&amp;K8,"000nM","uM"),"000uM","mM"),"000ug","mg")&amp;" "&amp;ROUND(1/(E50/E49+1),5)&amp;"x"</f>
        <v>#DIV/0!</v>
      </c>
      <c r="E49" s="41" t="e">
        <f>$I$32*I8/J8*$E$33</f>
        <v>#DIV/0!</v>
      </c>
      <c r="F49" s="40" t="e">
        <f>N8&amp;" "&amp;SUBSTITUTE(SUBSTITUTE(SUBSTITUTE(P8&amp;Q8,"000nM","uM"),"000uM","mM"),"000ug","mg")&amp;" "&amp;ROUND(1/(G50/G49+1),5)&amp;"x"</f>
        <v>#DIV/0!</v>
      </c>
      <c r="G49" s="42" t="e">
        <f>$K$32*O8/P8*$G$33</f>
        <v>#DIV/0!</v>
      </c>
      <c r="J49" s="30" t="str">
        <f>Tally!C15</f>
        <v/>
      </c>
      <c r="K49" s="31"/>
      <c r="L49" s="31"/>
      <c r="M49" s="24">
        <f t="shared" ca="1" si="2"/>
        <v>0</v>
      </c>
      <c r="N49" s="24" t="e">
        <f t="shared" ca="1" si="3"/>
        <v>#DIV/0!</v>
      </c>
      <c r="O49" s="31"/>
      <c r="P49" s="32" t="e">
        <f t="shared" ca="1" si="6"/>
        <v>#DIV/0!</v>
      </c>
      <c r="Q49" s="26" t="e">
        <f t="shared" ca="1" si="5"/>
        <v>#DIV/0!</v>
      </c>
    </row>
    <row r="50" spans="1:17" ht="14.65" thickBot="1" x14ac:dyDescent="0.5">
      <c r="A50" s="128"/>
      <c r="B50" s="43" t="s">
        <v>12</v>
      </c>
      <c r="C50" s="44" t="e">
        <f>$C$33-C49</f>
        <v>#DIV/0!</v>
      </c>
      <c r="D50" s="43" t="s">
        <v>12</v>
      </c>
      <c r="E50" s="44" t="e">
        <f>$E$33-SUM($E$87:$E$88)-E49</f>
        <v>#DIV/0!</v>
      </c>
      <c r="F50" s="43" t="s">
        <v>12</v>
      </c>
      <c r="G50" s="45" t="e">
        <f>$G$33-SUM($G$87:$G$88)-G49</f>
        <v>#DIV/0!</v>
      </c>
      <c r="J50" s="30" t="str">
        <f>Tally!C16</f>
        <v/>
      </c>
      <c r="K50" s="31"/>
      <c r="L50" s="31"/>
      <c r="M50" s="24">
        <f t="shared" ca="1" si="2"/>
        <v>0</v>
      </c>
      <c r="N50" s="24" t="e">
        <f t="shared" ca="1" si="3"/>
        <v>#DIV/0!</v>
      </c>
      <c r="O50" s="31"/>
      <c r="P50" s="32" t="e">
        <f t="shared" ca="1" si="6"/>
        <v>#DIV/0!</v>
      </c>
      <c r="Q50" s="26" t="e">
        <f t="shared" ca="1" si="5"/>
        <v>#DIV/0!</v>
      </c>
    </row>
    <row r="51" spans="1:17" ht="14.65" thickBot="1" x14ac:dyDescent="0.5">
      <c r="A51" s="127" t="str">
        <f>A9</f>
        <v>B2</v>
      </c>
      <c r="B51" s="40" t="e">
        <f>B9&amp;" "&amp;SUBSTITUTE(SUBSTITUTE(SUBSTITUTE(D9&amp;E9,"000nM","uM"),"000uM","mM"),"000ug","mg")&amp;" "&amp;ROUND(1/(C52/C51+1),5)&amp;"x"</f>
        <v>#DIV/0!</v>
      </c>
      <c r="C51" s="41" t="e">
        <f>$I$32*C9/D9*$C$33</f>
        <v>#DIV/0!</v>
      </c>
      <c r="D51" s="40" t="e">
        <f>H9&amp;" "&amp;SUBSTITUTE(SUBSTITUTE(SUBSTITUTE(J9&amp;K9,"000nM","uM"),"000uM","mM"),"000ug","mg")&amp;" "&amp;ROUND(1/(E52/E51+1),5)&amp;"x"</f>
        <v>#DIV/0!</v>
      </c>
      <c r="E51" s="41" t="e">
        <f>$I$32*I9/J9*$E$33</f>
        <v>#DIV/0!</v>
      </c>
      <c r="F51" s="40" t="e">
        <f>N9&amp;" "&amp;SUBSTITUTE(SUBSTITUTE(SUBSTITUTE(P9&amp;Q9,"000nM","uM"),"000uM","mM"),"000ug","mg")&amp;" "&amp;ROUND(1/(G52/G51+1),5)&amp;"x"</f>
        <v>#DIV/0!</v>
      </c>
      <c r="G51" s="42" t="e">
        <f>$K$32*O9/P9*$G$33</f>
        <v>#DIV/0!</v>
      </c>
      <c r="J51" s="30" t="str">
        <f>Tally!C17</f>
        <v/>
      </c>
      <c r="K51" s="31"/>
      <c r="L51" s="31"/>
      <c r="M51" s="24">
        <f t="shared" ca="1" si="2"/>
        <v>0</v>
      </c>
      <c r="N51" s="24" t="e">
        <f t="shared" ca="1" si="3"/>
        <v>#DIV/0!</v>
      </c>
      <c r="O51" s="31"/>
      <c r="P51" s="32" t="e">
        <f t="shared" ca="1" si="6"/>
        <v>#DIV/0!</v>
      </c>
      <c r="Q51" s="26" t="e">
        <f t="shared" ca="1" si="5"/>
        <v>#DIV/0!</v>
      </c>
    </row>
    <row r="52" spans="1:17" ht="14.65" thickBot="1" x14ac:dyDescent="0.5">
      <c r="A52" s="128"/>
      <c r="B52" s="43" t="s">
        <v>12</v>
      </c>
      <c r="C52" s="44" t="e">
        <f>$C$33-C51</f>
        <v>#DIV/0!</v>
      </c>
      <c r="D52" s="43" t="s">
        <v>12</v>
      </c>
      <c r="E52" s="44" t="e">
        <f>$E$33-SUM($E$87:$E$88)-E51</f>
        <v>#DIV/0!</v>
      </c>
      <c r="F52" s="43" t="s">
        <v>12</v>
      </c>
      <c r="G52" s="45" t="e">
        <f>$G$33-SUM($G$87:$G$88)-G51</f>
        <v>#DIV/0!</v>
      </c>
      <c r="J52" s="30" t="str">
        <f>Tally!C18</f>
        <v/>
      </c>
      <c r="K52" s="31"/>
      <c r="L52" s="31"/>
      <c r="M52" s="24">
        <f t="shared" ca="1" si="2"/>
        <v>0</v>
      </c>
      <c r="N52" s="24" t="e">
        <f t="shared" ca="1" si="3"/>
        <v>#DIV/0!</v>
      </c>
      <c r="O52" s="31"/>
      <c r="P52" s="32" t="e">
        <f t="shared" ref="P52:P61" ca="1" si="7">M52/N52*Q52</f>
        <v>#DIV/0!</v>
      </c>
      <c r="Q52" s="26" t="e">
        <f t="shared" ca="1" si="5"/>
        <v>#DIV/0!</v>
      </c>
    </row>
    <row r="53" spans="1:17" ht="14.65" thickBot="1" x14ac:dyDescent="0.5">
      <c r="A53" s="127" t="str">
        <f>A10</f>
        <v>C2</v>
      </c>
      <c r="B53" s="40" t="e">
        <f>B10&amp;" "&amp;SUBSTITUTE(SUBSTITUTE(SUBSTITUTE(D10&amp;E10,"000nM","uM"),"000uM","mM"),"000ug","mg")&amp;" "&amp;ROUND(1/(C54/C53+1),5)&amp;"x"</f>
        <v>#DIV/0!</v>
      </c>
      <c r="C53" s="41" t="e">
        <f>$I$32*C10/D10*$C$33</f>
        <v>#DIV/0!</v>
      </c>
      <c r="D53" s="40" t="e">
        <f>H10&amp;" "&amp;SUBSTITUTE(SUBSTITUTE(SUBSTITUTE(J10&amp;K10,"000nM","uM"),"000uM","mM"),"000ug","mg")&amp;" "&amp;ROUND(1/(E54/E53+1),5)&amp;"x"</f>
        <v>#DIV/0!</v>
      </c>
      <c r="E53" s="41" t="e">
        <f>$I$32*I10/J10*$E$33</f>
        <v>#DIV/0!</v>
      </c>
      <c r="F53" s="40" t="e">
        <f>N10&amp;" "&amp;SUBSTITUTE(SUBSTITUTE(SUBSTITUTE(P10&amp;Q10,"000nM","uM"),"000uM","mM"),"000ug","mg")&amp;" "&amp;ROUND(1/(G54/G53+1),5)&amp;"x"</f>
        <v>#DIV/0!</v>
      </c>
      <c r="G53" s="42" t="e">
        <f>$K$32*O10/P10*$G$33</f>
        <v>#DIV/0!</v>
      </c>
      <c r="J53" s="30" t="str">
        <f>Tally!C19</f>
        <v/>
      </c>
      <c r="K53" s="31"/>
      <c r="L53" s="31"/>
      <c r="M53" s="24">
        <f t="shared" ca="1" si="2"/>
        <v>0</v>
      </c>
      <c r="N53" s="24" t="e">
        <f t="shared" ca="1" si="3"/>
        <v>#DIV/0!</v>
      </c>
      <c r="O53" s="31"/>
      <c r="P53" s="32" t="e">
        <f t="shared" ca="1" si="7"/>
        <v>#DIV/0!</v>
      </c>
      <c r="Q53" s="26" t="e">
        <f t="shared" ca="1" si="5"/>
        <v>#DIV/0!</v>
      </c>
    </row>
    <row r="54" spans="1:17" ht="14.65" thickBot="1" x14ac:dyDescent="0.5">
      <c r="A54" s="128"/>
      <c r="B54" s="43" t="s">
        <v>12</v>
      </c>
      <c r="C54" s="44" t="e">
        <f>$C$33-C53</f>
        <v>#DIV/0!</v>
      </c>
      <c r="D54" s="43" t="s">
        <v>12</v>
      </c>
      <c r="E54" s="44" t="e">
        <f>$E$33-SUM($E$87:$E$88)-E53</f>
        <v>#DIV/0!</v>
      </c>
      <c r="F54" s="43" t="s">
        <v>12</v>
      </c>
      <c r="G54" s="45" t="e">
        <f>$G$33-SUM($G$87:$G$88)-G53</f>
        <v>#DIV/0!</v>
      </c>
      <c r="J54" s="30" t="str">
        <f>Tally!C20</f>
        <v/>
      </c>
      <c r="K54" s="31"/>
      <c r="L54" s="31"/>
      <c r="M54" s="24">
        <f t="shared" ca="1" si="2"/>
        <v>0</v>
      </c>
      <c r="N54" s="24" t="e">
        <f t="shared" ca="1" si="3"/>
        <v>#DIV/0!</v>
      </c>
      <c r="O54" s="31"/>
      <c r="P54" s="32" t="e">
        <f t="shared" ca="1" si="7"/>
        <v>#DIV/0!</v>
      </c>
      <c r="Q54" s="26" t="e">
        <f t="shared" ca="1" si="5"/>
        <v>#DIV/0!</v>
      </c>
    </row>
    <row r="55" spans="1:17" ht="14.65" thickBot="1" x14ac:dyDescent="0.5">
      <c r="A55" s="127" t="str">
        <f>A11</f>
        <v>D2</v>
      </c>
      <c r="B55" s="40" t="e">
        <f>B11&amp;" "&amp;SUBSTITUTE(SUBSTITUTE(SUBSTITUTE(D11&amp;E11,"000nM","uM"),"000uM","mM"),"000ug","mg")&amp;" "&amp;ROUND(1/(C56/C55+1),5)&amp;"x"</f>
        <v>#DIV/0!</v>
      </c>
      <c r="C55" s="41" t="e">
        <f>$I$32*C11/D11*$C$33</f>
        <v>#DIV/0!</v>
      </c>
      <c r="D55" s="40" t="e">
        <f>H11&amp;" "&amp;SUBSTITUTE(SUBSTITUTE(SUBSTITUTE(J11&amp;K11,"000nM","uM"),"000uM","mM"),"000ug","mg")&amp;" "&amp;ROUND(1/(E56/E55+1),5)&amp;"x"</f>
        <v>#DIV/0!</v>
      </c>
      <c r="E55" s="41" t="e">
        <f>$I$32*I11/J11*$E$33</f>
        <v>#DIV/0!</v>
      </c>
      <c r="F55" s="40" t="e">
        <f>N11&amp;" "&amp;SUBSTITUTE(SUBSTITUTE(SUBSTITUTE(P11&amp;Q11,"000nM","uM"),"000uM","mM"),"000ug","mg")&amp;" "&amp;ROUND(1/(G56/G55+1),5)&amp;"x"</f>
        <v>#DIV/0!</v>
      </c>
      <c r="G55" s="42" t="e">
        <f>$K$32*O11/P11*$G$33</f>
        <v>#DIV/0!</v>
      </c>
      <c r="J55" s="30" t="str">
        <f>Tally!C21</f>
        <v/>
      </c>
      <c r="K55" s="31"/>
      <c r="L55" s="31"/>
      <c r="M55" s="24">
        <f t="shared" ca="1" si="2"/>
        <v>0</v>
      </c>
      <c r="N55" s="24" t="e">
        <f t="shared" ca="1" si="3"/>
        <v>#DIV/0!</v>
      </c>
      <c r="O55" s="31"/>
      <c r="P55" s="32" t="e">
        <f t="shared" ca="1" si="7"/>
        <v>#DIV/0!</v>
      </c>
      <c r="Q55" s="26" t="e">
        <f t="shared" ca="1" si="5"/>
        <v>#DIV/0!</v>
      </c>
    </row>
    <row r="56" spans="1:17" ht="14.65" thickBot="1" x14ac:dyDescent="0.5">
      <c r="A56" s="128"/>
      <c r="B56" s="43" t="s">
        <v>12</v>
      </c>
      <c r="C56" s="44" t="e">
        <f>$C$33-C55</f>
        <v>#DIV/0!</v>
      </c>
      <c r="D56" s="43" t="s">
        <v>12</v>
      </c>
      <c r="E56" s="44" t="e">
        <f>$E$33-SUM($E$87:$E$88)-E55</f>
        <v>#DIV/0!</v>
      </c>
      <c r="F56" s="43" t="s">
        <v>12</v>
      </c>
      <c r="G56" s="45" t="e">
        <f>$G$33-SUM($G$87:$G$88)-G55</f>
        <v>#DIV/0!</v>
      </c>
      <c r="J56" s="30" t="str">
        <f>Tally!C22</f>
        <v/>
      </c>
      <c r="K56" s="31"/>
      <c r="L56" s="31"/>
      <c r="M56" s="24">
        <f t="shared" ca="1" si="2"/>
        <v>0</v>
      </c>
      <c r="N56" s="24" t="e">
        <f t="shared" ca="1" si="3"/>
        <v>#DIV/0!</v>
      </c>
      <c r="O56" s="31"/>
      <c r="P56" s="32" t="e">
        <f t="shared" ca="1" si="7"/>
        <v>#DIV/0!</v>
      </c>
      <c r="Q56" s="26" t="e">
        <f t="shared" ca="1" si="5"/>
        <v>#DIV/0!</v>
      </c>
    </row>
    <row r="57" spans="1:17" ht="14.65" thickBot="1" x14ac:dyDescent="0.5">
      <c r="A57" s="127" t="str">
        <f>A12</f>
        <v>E2</v>
      </c>
      <c r="B57" s="40" t="e">
        <f>B12&amp;" "&amp;SUBSTITUTE(SUBSTITUTE(SUBSTITUTE(D12&amp;E12,"000nM","uM"),"000uM","mM"),"000ug","mg")&amp;" "&amp;ROUND(1/(C58/C57+1),5)&amp;"x"</f>
        <v>#DIV/0!</v>
      </c>
      <c r="C57" s="41" t="e">
        <f>$I$32*C12/D12*$C$33</f>
        <v>#DIV/0!</v>
      </c>
      <c r="D57" s="40" t="e">
        <f>H12&amp;" "&amp;SUBSTITUTE(SUBSTITUTE(SUBSTITUTE(J12&amp;K12,"000nM","uM"),"000uM","mM"),"000ug","mg")&amp;" "&amp;ROUND(1/(E58/E57+1),5)&amp;"x"</f>
        <v>#DIV/0!</v>
      </c>
      <c r="E57" s="41" t="e">
        <f>$I$32*I12/J12*$E$33</f>
        <v>#DIV/0!</v>
      </c>
      <c r="F57" s="40" t="e">
        <f>N12&amp;" "&amp;SUBSTITUTE(SUBSTITUTE(SUBSTITUTE(P12&amp;Q12,"000nM","uM"),"000uM","mM"),"000ug","mg")&amp;" "&amp;ROUND(1/(G58/G57+1),5)&amp;"x"</f>
        <v>#DIV/0!</v>
      </c>
      <c r="G57" s="42" t="e">
        <f>$K$32*O12/P12*$G$33</f>
        <v>#DIV/0!</v>
      </c>
      <c r="J57" s="30" t="str">
        <f>Tally!C23</f>
        <v/>
      </c>
      <c r="K57" s="31"/>
      <c r="L57" s="31"/>
      <c r="M57" s="24">
        <f t="shared" ca="1" si="2"/>
        <v>0</v>
      </c>
      <c r="N57" s="24" t="e">
        <f t="shared" ca="1" si="3"/>
        <v>#DIV/0!</v>
      </c>
      <c r="O57" s="31"/>
      <c r="P57" s="32" t="e">
        <f t="shared" ca="1" si="7"/>
        <v>#DIV/0!</v>
      </c>
      <c r="Q57" s="26" t="e">
        <f t="shared" ca="1" si="5"/>
        <v>#DIV/0!</v>
      </c>
    </row>
    <row r="58" spans="1:17" ht="14.65" thickBot="1" x14ac:dyDescent="0.5">
      <c r="A58" s="128"/>
      <c r="B58" s="43" t="s">
        <v>12</v>
      </c>
      <c r="C58" s="44" t="e">
        <f>$C$33-C57</f>
        <v>#DIV/0!</v>
      </c>
      <c r="D58" s="43" t="s">
        <v>12</v>
      </c>
      <c r="E58" s="44" t="e">
        <f>$E$33-SUM($E$87:$E$88)-E57</f>
        <v>#DIV/0!</v>
      </c>
      <c r="F58" s="43" t="s">
        <v>12</v>
      </c>
      <c r="G58" s="45" t="e">
        <f>$G$33-SUM($G$87:$G$88)-G57</f>
        <v>#DIV/0!</v>
      </c>
      <c r="J58" s="30" t="str">
        <f>Tally!C24</f>
        <v/>
      </c>
      <c r="K58" s="31"/>
      <c r="L58" s="31"/>
      <c r="M58" s="24">
        <f t="shared" ca="1" si="2"/>
        <v>0</v>
      </c>
      <c r="N58" s="24" t="e">
        <f t="shared" ca="1" si="3"/>
        <v>#DIV/0!</v>
      </c>
      <c r="O58" s="31"/>
      <c r="P58" s="32" t="e">
        <f t="shared" ca="1" si="7"/>
        <v>#DIV/0!</v>
      </c>
      <c r="Q58" s="26" t="e">
        <f t="shared" ca="1" si="5"/>
        <v>#DIV/0!</v>
      </c>
    </row>
    <row r="59" spans="1:17" ht="14.65" thickBot="1" x14ac:dyDescent="0.5">
      <c r="A59" s="127" t="str">
        <f>A13</f>
        <v>F2</v>
      </c>
      <c r="B59" s="40" t="e">
        <f>B13&amp;" "&amp;SUBSTITUTE(SUBSTITUTE(SUBSTITUTE(D13&amp;E13,"000nM","uM"),"000uM","mM"),"000ug","mg")&amp;" "&amp;ROUND(1/(C60/C59+1),5)&amp;"x"</f>
        <v>#DIV/0!</v>
      </c>
      <c r="C59" s="41" t="e">
        <f>$I$32*C13/D13*$C$33</f>
        <v>#DIV/0!</v>
      </c>
      <c r="D59" s="40" t="e">
        <f>H13&amp;" "&amp;SUBSTITUTE(SUBSTITUTE(SUBSTITUTE(J13&amp;K13,"000nM","uM"),"000uM","mM"),"000ug","mg")&amp;" "&amp;ROUND(1/(E60/E59+1),5)&amp;"x"</f>
        <v>#DIV/0!</v>
      </c>
      <c r="E59" s="41" t="e">
        <f>$I$32*I13/J13*$E$33</f>
        <v>#DIV/0!</v>
      </c>
      <c r="F59" s="40" t="e">
        <f>N13&amp;" "&amp;SUBSTITUTE(SUBSTITUTE(SUBSTITUTE(P13&amp;Q13,"000nM","uM"),"000uM","mM"),"000ug","mg")&amp;" "&amp;ROUND(1/(G60/G59+1),5)&amp;"x"</f>
        <v>#DIV/0!</v>
      </c>
      <c r="G59" s="42" t="e">
        <f>$K$32*O13/P13*$G$33</f>
        <v>#DIV/0!</v>
      </c>
      <c r="J59" s="30" t="str">
        <f>Tally!C25</f>
        <v/>
      </c>
      <c r="K59" s="31"/>
      <c r="L59" s="31"/>
      <c r="M59" s="24">
        <f t="shared" ca="1" si="2"/>
        <v>0</v>
      </c>
      <c r="N59" s="24" t="e">
        <f t="shared" ca="1" si="3"/>
        <v>#DIV/0!</v>
      </c>
      <c r="O59" s="31"/>
      <c r="P59" s="32" t="e">
        <f t="shared" ca="1" si="7"/>
        <v>#DIV/0!</v>
      </c>
      <c r="Q59" s="26" t="e">
        <f t="shared" ca="1" si="5"/>
        <v>#DIV/0!</v>
      </c>
    </row>
    <row r="60" spans="1:17" ht="14.65" thickBot="1" x14ac:dyDescent="0.5">
      <c r="A60" s="128"/>
      <c r="B60" s="43" t="s">
        <v>12</v>
      </c>
      <c r="C60" s="44" t="e">
        <f>$C$33-C59</f>
        <v>#DIV/0!</v>
      </c>
      <c r="D60" s="43" t="s">
        <v>12</v>
      </c>
      <c r="E60" s="44" t="e">
        <f>$E$33-SUM($E$87:$E$88)-E59</f>
        <v>#DIV/0!</v>
      </c>
      <c r="F60" s="43" t="s">
        <v>12</v>
      </c>
      <c r="G60" s="45" t="e">
        <f>$G$33-SUM($G$87:$G$88)-G59</f>
        <v>#DIV/0!</v>
      </c>
      <c r="J60" s="30" t="str">
        <f>Tally!C26</f>
        <v/>
      </c>
      <c r="K60" s="31"/>
      <c r="L60" s="31"/>
      <c r="M60" s="24">
        <f t="shared" ca="1" si="2"/>
        <v>0</v>
      </c>
      <c r="N60" s="24" t="e">
        <f t="shared" ca="1" si="3"/>
        <v>#DIV/0!</v>
      </c>
      <c r="O60" s="31"/>
      <c r="P60" s="32" t="e">
        <f t="shared" ca="1" si="7"/>
        <v>#DIV/0!</v>
      </c>
      <c r="Q60" s="26" t="e">
        <f t="shared" ca="1" si="5"/>
        <v>#DIV/0!</v>
      </c>
    </row>
    <row r="61" spans="1:17" ht="14.65" thickBot="1" x14ac:dyDescent="0.5">
      <c r="A61" s="36"/>
      <c r="B61" s="120" t="s">
        <v>120</v>
      </c>
      <c r="C61" s="37"/>
      <c r="D61" s="120" t="s">
        <v>120</v>
      </c>
      <c r="E61" s="38"/>
      <c r="F61" s="120" t="s">
        <v>120</v>
      </c>
      <c r="G61" s="39"/>
      <c r="J61" s="46" t="str">
        <f>Tally!C27</f>
        <v/>
      </c>
      <c r="K61" s="47"/>
      <c r="L61" s="47"/>
      <c r="M61" s="24">
        <f t="shared" ca="1" si="2"/>
        <v>0</v>
      </c>
      <c r="N61" s="24" t="e">
        <f t="shared" ca="1" si="3"/>
        <v>#DIV/0!</v>
      </c>
      <c r="O61" s="47"/>
      <c r="P61" s="48" t="e">
        <f t="shared" ca="1" si="7"/>
        <v>#DIV/0!</v>
      </c>
      <c r="Q61" s="26" t="e">
        <f t="shared" ca="1" si="5"/>
        <v>#DIV/0!</v>
      </c>
    </row>
    <row r="62" spans="1:17" x14ac:dyDescent="0.45">
      <c r="A62" s="125" t="str">
        <f>A14</f>
        <v>A3</v>
      </c>
      <c r="B62" s="49" t="e">
        <f>B14&amp;" "&amp;SUBSTITUTE(SUBSTITUTE(SUBSTITUTE(D14&amp;E14,"000nM","uM"),"000uM","mM"),"000ug","mg")&amp;" "&amp;ROUND(1/(C63/C62+1),5)&amp;"x"</f>
        <v>#DIV/0!</v>
      </c>
      <c r="C62" s="50" t="e">
        <f>$I$32*C14/D14*$C$33</f>
        <v>#DIV/0!</v>
      </c>
      <c r="D62" s="49" t="e">
        <f>H14&amp;" "&amp;SUBSTITUTE(SUBSTITUTE(SUBSTITUTE(J14&amp;K14,"000nM","uM"),"000uM","mM"),"000ug","mg")&amp;" "&amp;ROUND(1/(E63/E62+1),5)&amp;"x"</f>
        <v>#DIV/0!</v>
      </c>
      <c r="E62" s="50" t="e">
        <f>$I$32*I14/J14*$E$33</f>
        <v>#DIV/0!</v>
      </c>
      <c r="F62" s="49" t="e">
        <f>N14&amp;" "&amp;SUBSTITUTE(SUBSTITUTE(SUBSTITUTE(P14&amp;Q14,"000nM","uM"),"000uM","mM"),"000ug","mg")&amp;" "&amp;ROUND(1/(G63/G62+1),5)&amp;"x"</f>
        <v>#DIV/0!</v>
      </c>
      <c r="G62" s="51" t="e">
        <f>$K$32*O14/P14*$G$33</f>
        <v>#DIV/0!</v>
      </c>
    </row>
    <row r="63" spans="1:17" ht="14.65" thickBot="1" x14ac:dyDescent="0.5">
      <c r="A63" s="126"/>
      <c r="B63" s="52" t="s">
        <v>12</v>
      </c>
      <c r="C63" s="53" t="e">
        <f>$C$33-C62</f>
        <v>#DIV/0!</v>
      </c>
      <c r="D63" s="52" t="s">
        <v>12</v>
      </c>
      <c r="E63" s="53" t="e">
        <f>$E$33-SUM($E$87:$E$88)-E62</f>
        <v>#DIV/0!</v>
      </c>
      <c r="F63" s="52" t="s">
        <v>12</v>
      </c>
      <c r="G63" s="54" t="e">
        <f>$G$33-SUM($G$87:$G$88)-G62</f>
        <v>#DIV/0!</v>
      </c>
    </row>
    <row r="64" spans="1:17" x14ac:dyDescent="0.45">
      <c r="A64" s="125" t="str">
        <f>A15</f>
        <v>B3</v>
      </c>
      <c r="B64" s="49" t="e">
        <f>B15&amp;" "&amp;SUBSTITUTE(SUBSTITUTE(SUBSTITUTE(D15&amp;E15,"000nM","uM"),"000uM","mM"),"000ug","mg")&amp;" "&amp;ROUND(1/(C65/C64+1),5)&amp;"x"</f>
        <v>#DIV/0!</v>
      </c>
      <c r="C64" s="50" t="e">
        <f>$I$32*C15/D15*$C$33</f>
        <v>#DIV/0!</v>
      </c>
      <c r="D64" s="49" t="e">
        <f>H15&amp;" "&amp;SUBSTITUTE(SUBSTITUTE(SUBSTITUTE(J15&amp;K15,"000nM","uM"),"000uM","mM"),"000ug","mg")&amp;" "&amp;ROUND(1/(E65/E64+1),5)&amp;"x"</f>
        <v>#DIV/0!</v>
      </c>
      <c r="E64" s="50" t="e">
        <f>$I$32*I15/J15*$E$33</f>
        <v>#DIV/0!</v>
      </c>
      <c r="F64" s="49" t="e">
        <f>N15&amp;" "&amp;SUBSTITUTE(SUBSTITUTE(SUBSTITUTE(P15&amp;Q15,"000nM","uM"),"000uM","mM"),"000ug","mg")&amp;" "&amp;ROUND(1/(G65/G64+1),5)&amp;"x"</f>
        <v>#DIV/0!</v>
      </c>
      <c r="G64" s="51" t="e">
        <f>$K$32*O15/P15*$G$33</f>
        <v>#DIV/0!</v>
      </c>
    </row>
    <row r="65" spans="1:7" ht="14.65" thickBot="1" x14ac:dyDescent="0.5">
      <c r="A65" s="126"/>
      <c r="B65" s="52" t="s">
        <v>12</v>
      </c>
      <c r="C65" s="53" t="e">
        <f>$C$33-C64</f>
        <v>#DIV/0!</v>
      </c>
      <c r="D65" s="52" t="s">
        <v>12</v>
      </c>
      <c r="E65" s="53" t="e">
        <f>$E$33-SUM($E$87:$E$88)-E64</f>
        <v>#DIV/0!</v>
      </c>
      <c r="F65" s="52" t="s">
        <v>12</v>
      </c>
      <c r="G65" s="54" t="e">
        <f>$G$33-SUM($G$87:$G$88)-G64</f>
        <v>#DIV/0!</v>
      </c>
    </row>
    <row r="66" spans="1:7" x14ac:dyDescent="0.45">
      <c r="A66" s="125" t="str">
        <f>A16</f>
        <v>C3</v>
      </c>
      <c r="B66" s="49" t="e">
        <f>B16&amp;" "&amp;SUBSTITUTE(SUBSTITUTE(SUBSTITUTE(D16&amp;E16,"000nM","uM"),"000uM","mM"),"000ug","mg")&amp;" "&amp;ROUND(1/(C67/C66+1),5)&amp;"x"</f>
        <v>#DIV/0!</v>
      </c>
      <c r="C66" s="50" t="e">
        <f>$I$32*C16/D16*$C$33</f>
        <v>#DIV/0!</v>
      </c>
      <c r="D66" s="49" t="e">
        <f>H16&amp;" "&amp;SUBSTITUTE(SUBSTITUTE(SUBSTITUTE(J16&amp;K16,"000nM","uM"),"000uM","mM"),"000ug","mg")&amp;" "&amp;ROUND(1/(E67/E66+1),5)&amp;"x"</f>
        <v>#DIV/0!</v>
      </c>
      <c r="E66" s="50" t="e">
        <f>$I$32*I16/J16*$E$33</f>
        <v>#DIV/0!</v>
      </c>
      <c r="F66" s="49" t="e">
        <f>N16&amp;" "&amp;SUBSTITUTE(SUBSTITUTE(SUBSTITUTE(P16&amp;Q16,"000nM","uM"),"000uM","mM"),"000ug","mg")&amp;" "&amp;ROUND(1/(G67/G66+1),5)&amp;"x"</f>
        <v>#DIV/0!</v>
      </c>
      <c r="G66" s="51" t="e">
        <f>$K$32*O16/P16*$G$33</f>
        <v>#DIV/0!</v>
      </c>
    </row>
    <row r="67" spans="1:7" ht="14.65" thickBot="1" x14ac:dyDescent="0.5">
      <c r="A67" s="126"/>
      <c r="B67" s="52" t="s">
        <v>12</v>
      </c>
      <c r="C67" s="53" t="e">
        <f>$C$33-C66</f>
        <v>#DIV/0!</v>
      </c>
      <c r="D67" s="52" t="s">
        <v>12</v>
      </c>
      <c r="E67" s="53" t="e">
        <f>$E$33-SUM($E$87:$E$88)-E66</f>
        <v>#DIV/0!</v>
      </c>
      <c r="F67" s="52" t="s">
        <v>12</v>
      </c>
      <c r="G67" s="54" t="e">
        <f>$G$33-SUM($G$87:$G$88)-G66</f>
        <v>#DIV/0!</v>
      </c>
    </row>
    <row r="68" spans="1:7" x14ac:dyDescent="0.45">
      <c r="A68" s="125" t="str">
        <f>A17</f>
        <v>D3</v>
      </c>
      <c r="B68" s="49" t="e">
        <f>B17&amp;" "&amp;SUBSTITUTE(SUBSTITUTE(SUBSTITUTE(D17&amp;E17,"000nM","uM"),"000uM","mM"),"000ug","mg")&amp;" "&amp;ROUND(1/(C69/C68+1),5)&amp;"x"</f>
        <v>#DIV/0!</v>
      </c>
      <c r="C68" s="50" t="e">
        <f>$I$32*C17/D17*$C$33</f>
        <v>#DIV/0!</v>
      </c>
      <c r="D68" s="49" t="e">
        <f>H17&amp;" "&amp;SUBSTITUTE(SUBSTITUTE(SUBSTITUTE(J17&amp;K17,"000nM","uM"),"000uM","mM"),"000ug","mg")&amp;" "&amp;ROUND(1/(E69/E68+1),5)&amp;"x"</f>
        <v>#DIV/0!</v>
      </c>
      <c r="E68" s="50" t="e">
        <f>$I$32*I17/J17*$E$33</f>
        <v>#DIV/0!</v>
      </c>
      <c r="F68" s="49" t="e">
        <f>N17&amp;" "&amp;SUBSTITUTE(SUBSTITUTE(SUBSTITUTE(P17&amp;Q17,"000nM","uM"),"000uM","mM"),"000ug","mg")&amp;" "&amp;ROUND(1/(G69/G68+1),5)&amp;"x"</f>
        <v>#DIV/0!</v>
      </c>
      <c r="G68" s="51" t="e">
        <f>$K$32*O17/P17*$G$33</f>
        <v>#DIV/0!</v>
      </c>
    </row>
    <row r="69" spans="1:7" ht="14.65" thickBot="1" x14ac:dyDescent="0.5">
      <c r="A69" s="126"/>
      <c r="B69" s="52" t="s">
        <v>12</v>
      </c>
      <c r="C69" s="53" t="e">
        <f>$C$33-C68</f>
        <v>#DIV/0!</v>
      </c>
      <c r="D69" s="52" t="s">
        <v>12</v>
      </c>
      <c r="E69" s="53" t="e">
        <f>$E$33-SUM($E$87:$E$88)-E68</f>
        <v>#DIV/0!</v>
      </c>
      <c r="F69" s="52" t="s">
        <v>12</v>
      </c>
      <c r="G69" s="54" t="e">
        <f>$G$33-SUM($G$87:$G$88)-G68</f>
        <v>#DIV/0!</v>
      </c>
    </row>
    <row r="70" spans="1:7" x14ac:dyDescent="0.45">
      <c r="A70" s="125" t="str">
        <f>A18</f>
        <v>E3</v>
      </c>
      <c r="B70" s="49" t="e">
        <f>B18&amp;" "&amp;SUBSTITUTE(SUBSTITUTE(SUBSTITUTE(D18&amp;E18,"000nM","uM"),"000uM","mM"),"000ug","mg")&amp;" "&amp;ROUND(1/(C71/C70+1),5)&amp;"x"</f>
        <v>#DIV/0!</v>
      </c>
      <c r="C70" s="50" t="e">
        <f>$I$32*C18/D18*$C$33</f>
        <v>#DIV/0!</v>
      </c>
      <c r="D70" s="49" t="e">
        <f>H18&amp;" "&amp;SUBSTITUTE(SUBSTITUTE(SUBSTITUTE(J18&amp;K18,"000nM","uM"),"000uM","mM"),"000ug","mg")&amp;" "&amp;ROUND(1/(E71/E70+1),5)&amp;"x"</f>
        <v>#DIV/0!</v>
      </c>
      <c r="E70" s="50" t="e">
        <f>$I$32*I18/J18*$E$33</f>
        <v>#DIV/0!</v>
      </c>
      <c r="F70" s="49" t="e">
        <f>N18&amp;" "&amp;SUBSTITUTE(SUBSTITUTE(SUBSTITUTE(P18&amp;Q18,"000nM","uM"),"000uM","mM"),"000ug","mg")&amp;" "&amp;ROUND(1/(G71/G70+1),5)&amp;"x"</f>
        <v>#DIV/0!</v>
      </c>
      <c r="G70" s="51" t="e">
        <f>$K$32*O18/P18*$G$33</f>
        <v>#DIV/0!</v>
      </c>
    </row>
    <row r="71" spans="1:7" ht="14.65" thickBot="1" x14ac:dyDescent="0.5">
      <c r="A71" s="126"/>
      <c r="B71" s="52" t="s">
        <v>12</v>
      </c>
      <c r="C71" s="53" t="e">
        <f>$C$33-C70</f>
        <v>#DIV/0!</v>
      </c>
      <c r="D71" s="52" t="s">
        <v>12</v>
      </c>
      <c r="E71" s="53" t="e">
        <f>$E$33-SUM($E$87:$E$88)-E70</f>
        <v>#DIV/0!</v>
      </c>
      <c r="F71" s="52" t="s">
        <v>12</v>
      </c>
      <c r="G71" s="54" t="e">
        <f>$G$33-SUM($G$87:$G$88)-G70</f>
        <v>#DIV/0!</v>
      </c>
    </row>
    <row r="72" spans="1:7" x14ac:dyDescent="0.45">
      <c r="A72" s="125" t="str">
        <f>A19</f>
        <v>F3</v>
      </c>
      <c r="B72" s="49" t="e">
        <f>B19&amp;" "&amp;SUBSTITUTE(SUBSTITUTE(SUBSTITUTE(D19&amp;E19,"000nM","uM"),"000uM","mM"),"000ug","mg")&amp;" "&amp;ROUND(1/(C73/C72+1),5)&amp;"x"</f>
        <v>#DIV/0!</v>
      </c>
      <c r="C72" s="50" t="e">
        <f>$I$32*C19/D19*$C$33</f>
        <v>#DIV/0!</v>
      </c>
      <c r="D72" s="49" t="e">
        <f>H19&amp;" "&amp;SUBSTITUTE(SUBSTITUTE(SUBSTITUTE(J19&amp;K19,"000nM","uM"),"000uM","mM"),"000ug","mg")&amp;" "&amp;ROUND(1/(E73/E72+1),5)&amp;"x"</f>
        <v>#DIV/0!</v>
      </c>
      <c r="E72" s="50" t="e">
        <f>$I$32*I19/J19*$E$33</f>
        <v>#DIV/0!</v>
      </c>
      <c r="F72" s="49" t="e">
        <f>N19&amp;" "&amp;SUBSTITUTE(SUBSTITUTE(SUBSTITUTE(P19&amp;Q19,"000nM","uM"),"000uM","mM"),"000ug","mg")&amp;" "&amp;ROUND(1/(G73/G72+1),5)&amp;"x"</f>
        <v>#DIV/0!</v>
      </c>
      <c r="G72" s="51" t="e">
        <f>$K$32*O19/P19*$G$33</f>
        <v>#DIV/0!</v>
      </c>
    </row>
    <row r="73" spans="1:7" ht="14.65" thickBot="1" x14ac:dyDescent="0.5">
      <c r="A73" s="126"/>
      <c r="B73" s="52" t="s">
        <v>12</v>
      </c>
      <c r="C73" s="53" t="e">
        <f>$C$33-C72</f>
        <v>#DIV/0!</v>
      </c>
      <c r="D73" s="52" t="s">
        <v>12</v>
      </c>
      <c r="E73" s="53" t="e">
        <f>$E$33-SUM($E$87:$E$88)-E72</f>
        <v>#DIV/0!</v>
      </c>
      <c r="F73" s="52" t="s">
        <v>12</v>
      </c>
      <c r="G73" s="54" t="e">
        <f>$G$33-SUM($G$87:$G$88)-G72</f>
        <v>#DIV/0!</v>
      </c>
    </row>
    <row r="74" spans="1:7" ht="14.65" thickBot="1" x14ac:dyDescent="0.5">
      <c r="A74" s="121"/>
      <c r="B74" s="122" t="s">
        <v>120</v>
      </c>
      <c r="C74" s="12"/>
      <c r="D74" s="122" t="s">
        <v>120</v>
      </c>
      <c r="E74" s="12"/>
      <c r="F74" s="122" t="s">
        <v>120</v>
      </c>
      <c r="G74" s="12"/>
    </row>
    <row r="75" spans="1:7" x14ac:dyDescent="0.45">
      <c r="A75" s="125" t="str">
        <f>A20</f>
        <v>A4</v>
      </c>
      <c r="B75" s="49" t="e">
        <f>B20&amp;" "&amp;SUBSTITUTE(SUBSTITUTE(SUBSTITUTE(D20&amp;E20,"000nM","uM"),"000uM","mM"),"000ug","mg")&amp;" "&amp;ROUND(1/(C76/C75+1),5)&amp;"x"</f>
        <v>#DIV/0!</v>
      </c>
      <c r="C75" s="50" t="e">
        <f>$I$32*C20/D20*$C$33</f>
        <v>#DIV/0!</v>
      </c>
      <c r="D75" s="49" t="e">
        <f>H20&amp;" "&amp;SUBSTITUTE(SUBSTITUTE(SUBSTITUTE(J20&amp;K20,"000nM","uM"),"000uM","mM"),"000ug","mg")&amp;" "&amp;ROUND(1/(E76/E75+1),5)&amp;"x"</f>
        <v>#DIV/0!</v>
      </c>
      <c r="E75" s="50" t="e">
        <f>$I$32*I20/J20*$E$33</f>
        <v>#DIV/0!</v>
      </c>
      <c r="F75" s="49" t="e">
        <f>N20&amp;" "&amp;SUBSTITUTE(SUBSTITUTE(SUBSTITUTE(P20&amp;Q20,"000nM","uM"),"000uM","mM"),"000ug","mg")&amp;" "&amp;ROUND(1/(G76/G75+1),5)&amp;"x"</f>
        <v>#DIV/0!</v>
      </c>
      <c r="G75" s="51" t="e">
        <f>$I$32*O20/P20*$G$33</f>
        <v>#DIV/0!</v>
      </c>
    </row>
    <row r="76" spans="1:7" ht="14.65" thickBot="1" x14ac:dyDescent="0.5">
      <c r="A76" s="126"/>
      <c r="B76" s="52" t="s">
        <v>12</v>
      </c>
      <c r="C76" s="53" t="e">
        <f>$C$33-C75</f>
        <v>#DIV/0!</v>
      </c>
      <c r="D76" s="52" t="s">
        <v>12</v>
      </c>
      <c r="E76" s="53" t="e">
        <f>$E$33-SUM($E$87:$E$88)-E75</f>
        <v>#DIV/0!</v>
      </c>
      <c r="F76" s="52" t="s">
        <v>12</v>
      </c>
      <c r="G76" s="54" t="e">
        <f>$G$33-SUM($G$87:$G$88)-G75</f>
        <v>#DIV/0!</v>
      </c>
    </row>
    <row r="77" spans="1:7" x14ac:dyDescent="0.45">
      <c r="A77" s="125" t="str">
        <f>A21</f>
        <v>B4</v>
      </c>
      <c r="B77" s="49" t="e">
        <f>B21&amp;" "&amp;SUBSTITUTE(SUBSTITUTE(SUBSTITUTE(D21&amp;E21,"000nM","uM"),"000uM","mM"),"000ug","mg")&amp;" "&amp;ROUND(1/(C78/C77+1),5)&amp;"x"</f>
        <v>#DIV/0!</v>
      </c>
      <c r="C77" s="50" t="e">
        <f>$I$32*C21/D21*$C$33</f>
        <v>#DIV/0!</v>
      </c>
      <c r="D77" s="49" t="e">
        <f>H21&amp;" "&amp;SUBSTITUTE(SUBSTITUTE(SUBSTITUTE(J21&amp;K21,"000nM","uM"),"000uM","mM"),"000ug","mg")&amp;" "&amp;ROUND(1/(E78/E77+1),5)&amp;"x"</f>
        <v>#DIV/0!</v>
      </c>
      <c r="E77" s="50" t="e">
        <f>$I$32*I21/J21*$E$33</f>
        <v>#DIV/0!</v>
      </c>
      <c r="F77" s="49" t="e">
        <f>N21&amp;" "&amp;SUBSTITUTE(SUBSTITUTE(SUBSTITUTE(P21&amp;Q21,"000nM","uM"),"000uM","mM"),"000ug","mg")&amp;" "&amp;ROUND(1/(G78/G77+1),5)&amp;"x"</f>
        <v>#DIV/0!</v>
      </c>
      <c r="G77" s="51" t="e">
        <f>$I$32*O21/P21*$G$33</f>
        <v>#DIV/0!</v>
      </c>
    </row>
    <row r="78" spans="1:7" ht="14.65" thickBot="1" x14ac:dyDescent="0.5">
      <c r="A78" s="126"/>
      <c r="B78" s="52" t="s">
        <v>12</v>
      </c>
      <c r="C78" s="53" t="e">
        <f>$C$33-C77</f>
        <v>#DIV/0!</v>
      </c>
      <c r="D78" s="52" t="s">
        <v>12</v>
      </c>
      <c r="E78" s="53" t="e">
        <f>$E$33-SUM($E$87:$E$88)-E77</f>
        <v>#DIV/0!</v>
      </c>
      <c r="F78" s="52" t="s">
        <v>12</v>
      </c>
      <c r="G78" s="54" t="e">
        <f>$G$33-SUM($G$87:$G$88)-G77</f>
        <v>#DIV/0!</v>
      </c>
    </row>
    <row r="79" spans="1:7" x14ac:dyDescent="0.45">
      <c r="A79" s="125" t="str">
        <f>A22</f>
        <v>C4</v>
      </c>
      <c r="B79" s="49" t="e">
        <f>B22&amp;" "&amp;SUBSTITUTE(SUBSTITUTE(SUBSTITUTE(D22&amp;E22,"000nM","uM"),"000uM","mM"),"000ug","mg")&amp;" "&amp;ROUND(1/(C80/C79+1),5)&amp;"x"</f>
        <v>#DIV/0!</v>
      </c>
      <c r="C79" s="50" t="e">
        <f>$I$32*C22/D22*$C$33</f>
        <v>#DIV/0!</v>
      </c>
      <c r="D79" s="49" t="e">
        <f>H22&amp;" "&amp;SUBSTITUTE(SUBSTITUTE(SUBSTITUTE(J22&amp;K22,"000nM","uM"),"000uM","mM"),"000ug","mg")&amp;" "&amp;ROUND(1/(E80/E79+1),5)&amp;"x"</f>
        <v>#DIV/0!</v>
      </c>
      <c r="E79" s="50" t="e">
        <f>$I$32*I22/J22*$E$33</f>
        <v>#DIV/0!</v>
      </c>
      <c r="F79" s="49" t="e">
        <f>N22&amp;" "&amp;SUBSTITUTE(SUBSTITUTE(SUBSTITUTE(P22&amp;Q22,"000nM","uM"),"000uM","mM"),"000ug","mg")&amp;" "&amp;ROUND(1/(G80/G79+1),5)&amp;"x"</f>
        <v>#DIV/0!</v>
      </c>
      <c r="G79" s="51" t="e">
        <f>$I$32*O22/P22*$G$33</f>
        <v>#DIV/0!</v>
      </c>
    </row>
    <row r="80" spans="1:7" ht="14.65" thickBot="1" x14ac:dyDescent="0.5">
      <c r="A80" s="126"/>
      <c r="B80" s="52" t="s">
        <v>12</v>
      </c>
      <c r="C80" s="53" t="e">
        <f>$C$33-C79</f>
        <v>#DIV/0!</v>
      </c>
      <c r="D80" s="52" t="s">
        <v>12</v>
      </c>
      <c r="E80" s="53" t="e">
        <f>$E$33-SUM($E$87:$E$88)-E79</f>
        <v>#DIV/0!</v>
      </c>
      <c r="F80" s="52" t="s">
        <v>12</v>
      </c>
      <c r="G80" s="54" t="e">
        <f>$G$33-SUM($G$87:$G$88)-G79</f>
        <v>#DIV/0!</v>
      </c>
    </row>
    <row r="81" spans="1:7" x14ac:dyDescent="0.45">
      <c r="A81" s="125" t="str">
        <f>A23</f>
        <v>D4</v>
      </c>
      <c r="B81" s="49" t="e">
        <f>B23&amp;" "&amp;SUBSTITUTE(SUBSTITUTE(SUBSTITUTE(D23&amp;E23,"000nM","uM"),"000uM","mM"),"000ug","mg")&amp;" "&amp;ROUND(1/(C82/C81+1),5)&amp;"x"</f>
        <v>#DIV/0!</v>
      </c>
      <c r="C81" s="50" t="e">
        <f>$I$32*C23/D23*$C$33</f>
        <v>#DIV/0!</v>
      </c>
      <c r="D81" s="49" t="e">
        <f>H23&amp;" "&amp;SUBSTITUTE(SUBSTITUTE(SUBSTITUTE(J23&amp;K23,"000nM","uM"),"000uM","mM"),"000ug","mg")&amp;" "&amp;ROUND(1/(E82/E81+1),5)&amp;"x"</f>
        <v>#DIV/0!</v>
      </c>
      <c r="E81" s="50" t="e">
        <f>$I$32*I23/J23*$E$33</f>
        <v>#DIV/0!</v>
      </c>
      <c r="F81" s="49" t="e">
        <f>N23&amp;" "&amp;SUBSTITUTE(SUBSTITUTE(SUBSTITUTE(P23&amp;Q23,"000nM","uM"),"000uM","mM"),"000ug","mg")&amp;" "&amp;ROUND(1/(G82/G81+1),5)&amp;"x"</f>
        <v>#DIV/0!</v>
      </c>
      <c r="G81" s="51" t="e">
        <f>$I$32*O23/P23*$G$33</f>
        <v>#DIV/0!</v>
      </c>
    </row>
    <row r="82" spans="1:7" ht="14.65" thickBot="1" x14ac:dyDescent="0.5">
      <c r="A82" s="126"/>
      <c r="B82" s="52" t="s">
        <v>12</v>
      </c>
      <c r="C82" s="53" t="e">
        <f>$C$33-C81</f>
        <v>#DIV/0!</v>
      </c>
      <c r="D82" s="52" t="s">
        <v>12</v>
      </c>
      <c r="E82" s="53" t="e">
        <f>$E$33-SUM($E$87:$E$88)-E81</f>
        <v>#DIV/0!</v>
      </c>
      <c r="F82" s="52" t="s">
        <v>12</v>
      </c>
      <c r="G82" s="54" t="e">
        <f>$G$33-SUM($G$87:$G$88)-G81</f>
        <v>#DIV/0!</v>
      </c>
    </row>
    <row r="83" spans="1:7" x14ac:dyDescent="0.45">
      <c r="A83" s="125" t="str">
        <f>A24</f>
        <v>E4</v>
      </c>
      <c r="B83" s="49" t="e">
        <f>B24&amp;" "&amp;SUBSTITUTE(SUBSTITUTE(SUBSTITUTE(D24&amp;E24,"000nM","uM"),"000uM","mM"),"000ug","mg")&amp;" "&amp;ROUND(1/(C84/C83+1),5)&amp;"x"</f>
        <v>#DIV/0!</v>
      </c>
      <c r="C83" s="50" t="e">
        <f>$I$32*C24/D24*$C$33</f>
        <v>#DIV/0!</v>
      </c>
      <c r="D83" s="49" t="e">
        <f>H24&amp;" "&amp;SUBSTITUTE(SUBSTITUTE(SUBSTITUTE(J24&amp;K24,"000nM","uM"),"000uM","mM"),"000ug","mg")&amp;" "&amp;ROUND(1/(E84/E83+1),5)&amp;"x"</f>
        <v>#DIV/0!</v>
      </c>
      <c r="E83" s="50" t="e">
        <f>$I$32*I24/J24*$E$33</f>
        <v>#DIV/0!</v>
      </c>
      <c r="F83" s="49" t="e">
        <f>N24&amp;" "&amp;SUBSTITUTE(SUBSTITUTE(SUBSTITUTE(P24&amp;Q24,"000nM","uM"),"000uM","mM"),"000ug","mg")&amp;" "&amp;ROUND(1/(G84/G83+1),5)&amp;"x"</f>
        <v>#DIV/0!</v>
      </c>
      <c r="G83" s="51" t="e">
        <f>$I$32*O24/P24*$G$33</f>
        <v>#DIV/0!</v>
      </c>
    </row>
    <row r="84" spans="1:7" ht="14.65" thickBot="1" x14ac:dyDescent="0.5">
      <c r="A84" s="126"/>
      <c r="B84" s="52" t="s">
        <v>12</v>
      </c>
      <c r="C84" s="53" t="e">
        <f>$C$33-C83</f>
        <v>#DIV/0!</v>
      </c>
      <c r="D84" s="52" t="s">
        <v>12</v>
      </c>
      <c r="E84" s="53" t="e">
        <f>$E$33-SUM($E$87:$E$88)-E83</f>
        <v>#DIV/0!</v>
      </c>
      <c r="F84" s="52" t="s">
        <v>12</v>
      </c>
      <c r="G84" s="54" t="e">
        <f>$G$33-SUM($G$87:$G$88)-G83</f>
        <v>#DIV/0!</v>
      </c>
    </row>
    <row r="85" spans="1:7" x14ac:dyDescent="0.45">
      <c r="A85" s="125" t="str">
        <f>A25</f>
        <v>F4</v>
      </c>
      <c r="B85" s="49" t="e">
        <f>B25&amp;" "&amp;SUBSTITUTE(SUBSTITUTE(SUBSTITUTE(D25&amp;E25,"000nM","uM"),"000uM","mM"),"000ug","mg")&amp;" "&amp;ROUND(1/(C86/C85+1),5)&amp;"x"</f>
        <v>#DIV/0!</v>
      </c>
      <c r="C85" s="50" t="e">
        <f>$I$32*C25/D25*$C$33</f>
        <v>#DIV/0!</v>
      </c>
      <c r="D85" s="49" t="e">
        <f>H25&amp;" "&amp;SUBSTITUTE(SUBSTITUTE(SUBSTITUTE(J25&amp;K25,"000nM","uM"),"000uM","mM"),"000ug","mg")&amp;" "&amp;ROUND(1/(E86/E85+1),5)&amp;"x"</f>
        <v>#DIV/0!</v>
      </c>
      <c r="E85" s="50" t="e">
        <f>$I$32*I25/J25*$E$33</f>
        <v>#DIV/0!</v>
      </c>
      <c r="F85" s="49" t="e">
        <f>N25&amp;" "&amp;SUBSTITUTE(SUBSTITUTE(SUBSTITUTE(P25&amp;Q25,"000nM","uM"),"000uM","mM"),"000ug","mg")&amp;" "&amp;ROUND(1/(G86/G85+1),5)&amp;"x"</f>
        <v>#DIV/0!</v>
      </c>
      <c r="G85" s="51" t="e">
        <f>$I$32*O25/P25*$G$33</f>
        <v>#DIV/0!</v>
      </c>
    </row>
    <row r="86" spans="1:7" ht="14.65" thickBot="1" x14ac:dyDescent="0.5">
      <c r="A86" s="126"/>
      <c r="B86" s="52" t="s">
        <v>12</v>
      </c>
      <c r="C86" s="53" t="e">
        <f>$C$33-C85</f>
        <v>#DIV/0!</v>
      </c>
      <c r="D86" s="52" t="s">
        <v>12</v>
      </c>
      <c r="E86" s="53" t="e">
        <f>$E$33-SUM($E$87:$E$88)-E85</f>
        <v>#DIV/0!</v>
      </c>
      <c r="F86" s="52" t="s">
        <v>12</v>
      </c>
      <c r="G86" s="54" t="e">
        <f>$G$33-SUM($G$87:$G$88)-G85</f>
        <v>#DIV/0!</v>
      </c>
    </row>
    <row r="87" spans="1:7" x14ac:dyDescent="0.45">
      <c r="B87" s="5" t="s">
        <v>13</v>
      </c>
      <c r="E87" s="12">
        <f>E33/I32</f>
        <v>75</v>
      </c>
      <c r="G87" s="12">
        <f>(G33-G88)/(I32)</f>
        <v>0</v>
      </c>
    </row>
    <row r="88" spans="1:7" x14ac:dyDescent="0.45">
      <c r="B88" s="5" t="s">
        <v>14</v>
      </c>
      <c r="G88" s="12">
        <f>G33/J32</f>
        <v>0</v>
      </c>
    </row>
    <row r="89" spans="1:7" x14ac:dyDescent="0.45">
      <c r="B89" t="s">
        <v>121</v>
      </c>
      <c r="C89" s="5">
        <f>C34*4/5</f>
        <v>100</v>
      </c>
    </row>
    <row r="90" spans="1:7" x14ac:dyDescent="0.45">
      <c r="B90" s="12"/>
    </row>
    <row r="91" spans="1:7" x14ac:dyDescent="0.45">
      <c r="C91" s="12"/>
      <c r="D91" s="12"/>
      <c r="E91" s="12"/>
      <c r="F91" s="12"/>
      <c r="G91" s="12"/>
    </row>
  </sheetData>
  <dataConsolidate/>
  <mergeCells count="24">
    <mergeCell ref="A85:A86"/>
    <mergeCell ref="A75:A76"/>
    <mergeCell ref="A77:A78"/>
    <mergeCell ref="A79:A80"/>
    <mergeCell ref="A81:A82"/>
    <mergeCell ref="A83:A84"/>
    <mergeCell ref="A46:A47"/>
    <mergeCell ref="A36:A37"/>
    <mergeCell ref="A38:A39"/>
    <mergeCell ref="A40:A41"/>
    <mergeCell ref="A42:A43"/>
    <mergeCell ref="A44:A45"/>
    <mergeCell ref="A72:A73"/>
    <mergeCell ref="A49:A50"/>
    <mergeCell ref="A51:A52"/>
    <mergeCell ref="A53:A54"/>
    <mergeCell ref="A55:A56"/>
    <mergeCell ref="A57:A58"/>
    <mergeCell ref="A59:A60"/>
    <mergeCell ref="A62:A63"/>
    <mergeCell ref="A64:A65"/>
    <mergeCell ref="A66:A67"/>
    <mergeCell ref="A68:A69"/>
    <mergeCell ref="A70:A7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topLeftCell="A22" workbookViewId="0">
      <selection activeCell="C29" sqref="C29"/>
    </sheetView>
  </sheetViews>
  <sheetFormatPr defaultRowHeight="14.25" x14ac:dyDescent="0.45"/>
  <cols>
    <col min="1" max="1" width="40" customWidth="1"/>
  </cols>
  <sheetData>
    <row r="1" spans="1:3" x14ac:dyDescent="0.45">
      <c r="A1" s="2" t="str">
        <f>Plate!B36</f>
        <v>Glucose 500mM 0.052x</v>
      </c>
    </row>
    <row r="2" spans="1:3" x14ac:dyDescent="0.45">
      <c r="A2" s="2" t="str">
        <f>Plate!B38</f>
        <v>Glucose+FCCP 120uM 0.00167x</v>
      </c>
      <c r="C2" t="str">
        <f t="array" ref="C2">IFERROR(INDEX(A$1:A$72,MATCH(SUM(COUNTIF(C$1:C1,A$1:A$72)),COUNTIF(A$1:A$72,"&lt;"&amp;A$1:A$72),0)),"")</f>
        <v>Glucose 500mM 0.052x</v>
      </c>
    </row>
    <row r="3" spans="1:3" x14ac:dyDescent="0.45">
      <c r="A3" s="2" t="e">
        <f>Plate!B40</f>
        <v>#DIV/0!</v>
      </c>
      <c r="C3" t="str">
        <f t="array" ref="C3">IFERROR(INDEX(A$1:A$72,MATCH(SUM(COUNTIF(C$1:C2,A$1:A$72)),COUNTIF(A$1:A$72,"&lt;"&amp;A$1:A$72),0)),"")</f>
        <v>Glucose+FCCP 120uM 0.00167x</v>
      </c>
    </row>
    <row r="4" spans="1:3" x14ac:dyDescent="0.45">
      <c r="A4" s="2" t="e">
        <f>Plate!B42</f>
        <v>#DIV/0!</v>
      </c>
      <c r="C4" t="str">
        <f t="array" ref="C4">IFERROR(INDEX(A$1:A$72,MATCH(SUM(COUNTIF(C$1:C3,A$1:A$72)),COUNTIF(A$1:A$72,"&lt;"&amp;A$1:A$72),0)),"")</f>
        <v>Oligom 8mg/ml 0.001x</v>
      </c>
    </row>
    <row r="5" spans="1:3" x14ac:dyDescent="0.45">
      <c r="A5" s="2" t="e">
        <f>Plate!B44</f>
        <v>#DIV/0!</v>
      </c>
      <c r="C5" t="str">
        <f t="array" ref="C5">IFERROR(INDEX(A$1:A$72,MATCH(SUM(COUNTIF(C$1:C4,A$1:A$72)),COUNTIF(A$1:A$72,"&lt;"&amp;A$1:A$72),0)),"")</f>
        <v/>
      </c>
    </row>
    <row r="6" spans="1:3" x14ac:dyDescent="0.45">
      <c r="A6" s="2" t="e">
        <f>Plate!B46</f>
        <v>#DIV/0!</v>
      </c>
      <c r="C6" t="str">
        <f t="array" ref="C6">IFERROR(INDEX(A$1:A$72,MATCH(SUM(COUNTIF(C$1:C5,A$1:A$72)),COUNTIF(A$1:A$72,"&lt;"&amp;A$1:A$72),0)),"")</f>
        <v/>
      </c>
    </row>
    <row r="7" spans="1:3" x14ac:dyDescent="0.45">
      <c r="A7" s="2" t="e">
        <f>Plate!B49</f>
        <v>#DIV/0!</v>
      </c>
      <c r="C7" t="str">
        <f t="array" ref="C7">IFERROR(INDEX(A$1:A$72,MATCH(SUM(COUNTIF(C$1:C6,A$1:A$72)),COUNTIF(A$1:A$72,"&lt;"&amp;A$1:A$72),0)),"")</f>
        <v/>
      </c>
    </row>
    <row r="8" spans="1:3" x14ac:dyDescent="0.45">
      <c r="A8" s="2" t="e">
        <f>Plate!B51</f>
        <v>#DIV/0!</v>
      </c>
      <c r="C8" t="str">
        <f t="array" ref="C8">IFERROR(INDEX(A$1:A$72,MATCH(SUM(COUNTIF(C$1:C7,A$1:A$72)),COUNTIF(A$1:A$72,"&lt;"&amp;A$1:A$72),0)),"")</f>
        <v/>
      </c>
    </row>
    <row r="9" spans="1:3" x14ac:dyDescent="0.45">
      <c r="A9" s="2" t="e">
        <f>Plate!B53</f>
        <v>#DIV/0!</v>
      </c>
      <c r="C9" t="str">
        <f t="array" ref="C9">IFERROR(INDEX(A$1:A$72,MATCH(SUM(COUNTIF(C$1:C8,A$1:A$72)),COUNTIF(A$1:A$72,"&lt;"&amp;A$1:A$72),0)),"")</f>
        <v/>
      </c>
    </row>
    <row r="10" spans="1:3" x14ac:dyDescent="0.45">
      <c r="A10" s="2" t="e">
        <f>Plate!B55</f>
        <v>#DIV/0!</v>
      </c>
      <c r="C10" t="str">
        <f t="array" ref="C10">IFERROR(INDEX(A$1:A$72,MATCH(SUM(COUNTIF(C$1:C9,A$1:A$72)),COUNTIF(A$1:A$72,"&lt;"&amp;A$1:A$72),0)),"")</f>
        <v/>
      </c>
    </row>
    <row r="11" spans="1:3" x14ac:dyDescent="0.45">
      <c r="A11" s="2" t="e">
        <f>Plate!B57</f>
        <v>#DIV/0!</v>
      </c>
      <c r="C11" t="str">
        <f t="array" ref="C11">IFERROR(INDEX(A$1:A$72,MATCH(SUM(COUNTIF(C$1:C10,A$1:A$72)),COUNTIF(A$1:A$72,"&lt;"&amp;A$1:A$72),0)),"")</f>
        <v/>
      </c>
    </row>
    <row r="12" spans="1:3" x14ac:dyDescent="0.45">
      <c r="A12" s="2" t="e">
        <f>Plate!B59</f>
        <v>#DIV/0!</v>
      </c>
      <c r="C12" t="str">
        <f t="array" ref="C12">IFERROR(INDEX(A$1:A$72,MATCH(SUM(COUNTIF(C$1:C11,A$1:A$72)),COUNTIF(A$1:A$72,"&lt;"&amp;A$1:A$72),0)),"")</f>
        <v/>
      </c>
    </row>
    <row r="13" spans="1:3" x14ac:dyDescent="0.45">
      <c r="A13" s="2" t="e">
        <f>Plate!B62</f>
        <v>#DIV/0!</v>
      </c>
      <c r="C13" t="str">
        <f t="array" ref="C13">IFERROR(INDEX(A$1:A$72,MATCH(SUM(COUNTIF(C$1:C12,A$1:A$72)),COUNTIF(A$1:A$72,"&lt;"&amp;A$1:A$72),0)),"")</f>
        <v/>
      </c>
    </row>
    <row r="14" spans="1:3" x14ac:dyDescent="0.45">
      <c r="A14" s="2" t="e">
        <f>Plate!B64</f>
        <v>#DIV/0!</v>
      </c>
      <c r="C14" t="str">
        <f t="array" ref="C14">IFERROR(INDEX(A$1:A$72,MATCH(SUM(COUNTIF(C$1:C13,A$1:A$72)),COUNTIF(A$1:A$72,"&lt;"&amp;A$1:A$72),0)),"")</f>
        <v/>
      </c>
    </row>
    <row r="15" spans="1:3" x14ac:dyDescent="0.45">
      <c r="A15" s="2" t="e">
        <f>Plate!B66</f>
        <v>#DIV/0!</v>
      </c>
      <c r="C15" t="str">
        <f t="array" ref="C15">IFERROR(INDEX(A$1:A$72,MATCH(SUM(COUNTIF(C$1:C14,A$1:A$72)),COUNTIF(A$1:A$72,"&lt;"&amp;A$1:A$72),0)),"")</f>
        <v/>
      </c>
    </row>
    <row r="16" spans="1:3" x14ac:dyDescent="0.45">
      <c r="A16" s="2" t="e">
        <f>Plate!B68</f>
        <v>#DIV/0!</v>
      </c>
      <c r="C16" t="str">
        <f t="array" ref="C16">IFERROR(INDEX(A$1:A$72,MATCH(SUM(COUNTIF(C$1:C15,A$1:A$72)),COUNTIF(A$1:A$72,"&lt;"&amp;A$1:A$72),0)),"")</f>
        <v/>
      </c>
    </row>
    <row r="17" spans="1:3" x14ac:dyDescent="0.45">
      <c r="A17" s="2" t="e">
        <f>Plate!B70</f>
        <v>#DIV/0!</v>
      </c>
      <c r="C17" t="str">
        <f t="array" ref="C17">IFERROR(INDEX(A$1:A$72,MATCH(SUM(COUNTIF(C$1:C16,A$1:A$72)),COUNTIF(A$1:A$72,"&lt;"&amp;A$1:A$72),0)),"")</f>
        <v/>
      </c>
    </row>
    <row r="18" spans="1:3" x14ac:dyDescent="0.45">
      <c r="A18" s="2" t="e">
        <f>Plate!B72</f>
        <v>#DIV/0!</v>
      </c>
      <c r="C18" t="str">
        <f t="array" ref="C18">IFERROR(INDEX(A$1:A$72,MATCH(SUM(COUNTIF(C$1:C17,A$1:A$72)),COUNTIF(A$1:A$72,"&lt;"&amp;A$1:A$72),0)),"")</f>
        <v/>
      </c>
    </row>
    <row r="19" spans="1:3" x14ac:dyDescent="0.45">
      <c r="A19" s="2" t="str">
        <f>Plate!D36</f>
        <v>Oligom 8mg/ml 0.001x</v>
      </c>
      <c r="C19" t="str">
        <f t="array" ref="C19">IFERROR(INDEX(A$1:A$72,MATCH(SUM(COUNTIF(C$1:C18,A$1:A$72)),COUNTIF(A$1:A$72,"&lt;"&amp;A$1:A$72),0)),"")</f>
        <v/>
      </c>
    </row>
    <row r="20" spans="1:3" x14ac:dyDescent="0.45">
      <c r="A20" s="2" t="str">
        <f>Plate!D38</f>
        <v>Oligom 8mg/ml 0.001x</v>
      </c>
      <c r="C20" t="str">
        <f t="array" ref="C20">IFERROR(INDEX(A$1:A$72,MATCH(SUM(COUNTIF(C$1:C19,A$1:A$72)),COUNTIF(A$1:A$72,"&lt;"&amp;A$1:A$72),0)),"")</f>
        <v/>
      </c>
    </row>
    <row r="21" spans="1:3" x14ac:dyDescent="0.45">
      <c r="A21" s="2" t="e">
        <f>Plate!D40</f>
        <v>#DIV/0!</v>
      </c>
      <c r="C21" t="str">
        <f t="array" ref="C21">IFERROR(INDEX(A$1:A$72,MATCH(SUM(COUNTIF(C$1:C20,A$1:A$72)),COUNTIF(A$1:A$72,"&lt;"&amp;A$1:A$72),0)),"")</f>
        <v/>
      </c>
    </row>
    <row r="22" spans="1:3" x14ac:dyDescent="0.45">
      <c r="A22" s="2" t="e">
        <f>Plate!D42</f>
        <v>#DIV/0!</v>
      </c>
      <c r="C22" t="str">
        <f t="array" ref="C22">IFERROR(INDEX(A$1:A$72,MATCH(SUM(COUNTIF(C$1:C21,A$1:A$72)),COUNTIF(A$1:A$72,"&lt;"&amp;A$1:A$72),0)),"")</f>
        <v/>
      </c>
    </row>
    <row r="23" spans="1:3" x14ac:dyDescent="0.45">
      <c r="A23" s="2" t="e">
        <f>Plate!D44</f>
        <v>#DIV/0!</v>
      </c>
      <c r="C23" t="str">
        <f t="array" ref="C23">IFERROR(INDEX(A$1:A$72,MATCH(SUM(COUNTIF(C$1:C22,A$1:A$72)),COUNTIF(A$1:A$72,"&lt;"&amp;A$1:A$72),0)),"")</f>
        <v/>
      </c>
    </row>
    <row r="24" spans="1:3" x14ac:dyDescent="0.45">
      <c r="A24" s="2" t="e">
        <f>Plate!D46</f>
        <v>#DIV/0!</v>
      </c>
      <c r="C24" t="str">
        <f t="array" ref="C24">IFERROR(INDEX(A$1:A$72,MATCH(SUM(COUNTIF(C$1:C23,A$1:A$72)),COUNTIF(A$1:A$72,"&lt;"&amp;A$1:A$72),0)),"")</f>
        <v/>
      </c>
    </row>
    <row r="25" spans="1:3" x14ac:dyDescent="0.45">
      <c r="A25" s="2" t="e">
        <f>Plate!D49</f>
        <v>#DIV/0!</v>
      </c>
      <c r="C25" t="str">
        <f t="array" ref="C25">IFERROR(INDEX(A$1:A$72,MATCH(SUM(COUNTIF(C$1:C24,A$1:A$72)),COUNTIF(A$1:A$72,"&lt;"&amp;A$1:A$72),0)),"")</f>
        <v/>
      </c>
    </row>
    <row r="26" spans="1:3" x14ac:dyDescent="0.45">
      <c r="A26" s="2" t="e">
        <f>Plate!D51</f>
        <v>#DIV/0!</v>
      </c>
      <c r="C26" t="str">
        <f t="array" ref="C26">IFERROR(INDEX(A$1:A$72,MATCH(SUM(COUNTIF(C$1:C25,A$1:A$72)),COUNTIF(A$1:A$72,"&lt;"&amp;A$1:A$72),0)),"")</f>
        <v/>
      </c>
    </row>
    <row r="27" spans="1:3" x14ac:dyDescent="0.45">
      <c r="A27" s="2" t="e">
        <f>Plate!D53</f>
        <v>#DIV/0!</v>
      </c>
      <c r="C27" t="str">
        <f t="array" ref="C27">IFERROR(INDEX(A$1:A$72,MATCH(SUM(COUNTIF(C$1:C26,A$1:A$72)),COUNTIF(A$1:A$72,"&lt;"&amp;A$1:A$72),0)),"")</f>
        <v/>
      </c>
    </row>
    <row r="28" spans="1:3" x14ac:dyDescent="0.45">
      <c r="A28" s="2" t="e">
        <f>Plate!D55</f>
        <v>#DIV/0!</v>
      </c>
      <c r="C28" t="str">
        <f t="array" ref="C28">IFERROR(INDEX(A$1:A$72,MATCH(SUM(COUNTIF(C$1:C27,A$1:A$72)),COUNTIF(A$1:A$72,"&lt;"&amp;A$1:A$72),0)),"")</f>
        <v/>
      </c>
    </row>
    <row r="29" spans="1:3" x14ac:dyDescent="0.45">
      <c r="A29" s="2" t="e">
        <f>Plate!D57</f>
        <v>#DIV/0!</v>
      </c>
      <c r="C29" t="str">
        <f t="array" ref="C29">IFERROR(INDEX(A$1:A$72,MATCH(SUM(COUNTIF(C$1:C28,A$1:A$72)),COUNTIF(A$1:A$72,"&lt;"&amp;A$1:A$72),0)),"")</f>
        <v/>
      </c>
    </row>
    <row r="30" spans="1:3" x14ac:dyDescent="0.45">
      <c r="A30" s="2" t="e">
        <f>Plate!D59</f>
        <v>#DIV/0!</v>
      </c>
      <c r="C30" t="str">
        <f t="array" ref="C30">IFERROR(INDEX(A$1:A$72,MATCH(SUM(COUNTIF(C$1:C29,A$1:A$72)),COUNTIF(A$1:A$72,"&lt;"&amp;A$1:A$72),0)),"")</f>
        <v/>
      </c>
    </row>
    <row r="31" spans="1:3" x14ac:dyDescent="0.45">
      <c r="A31" s="2" t="e">
        <f>Plate!D62</f>
        <v>#DIV/0!</v>
      </c>
      <c r="C31" t="str">
        <f t="array" ref="C31">IFERROR(INDEX(A$1:A$72,MATCH(SUM(COUNTIF(C$1:C30,A$1:A$72)),COUNTIF(A$1:A$72,"&lt;"&amp;A$1:A$72),0)),"")</f>
        <v/>
      </c>
    </row>
    <row r="32" spans="1:3" x14ac:dyDescent="0.45">
      <c r="A32" s="2" t="e">
        <f>Plate!D64</f>
        <v>#DIV/0!</v>
      </c>
      <c r="C32" t="str">
        <f t="array" ref="C32">IFERROR(INDEX(A$1:A$72,MATCH(SUM(COUNTIF(C$1:C31,A$1:A$72)),COUNTIF(A$1:A$72,"&lt;"&amp;A$1:A$72),0)),"")</f>
        <v/>
      </c>
    </row>
    <row r="33" spans="1:3" x14ac:dyDescent="0.45">
      <c r="A33" s="2" t="e">
        <f>Plate!D66</f>
        <v>#DIV/0!</v>
      </c>
      <c r="C33" t="str">
        <f t="array" ref="C33">IFERROR(INDEX(A$1:A$72,MATCH(SUM(COUNTIF(C$1:C32,A$1:A$72)),COUNTIF(A$1:A$72,"&lt;"&amp;A$1:A$72),0)),"")</f>
        <v/>
      </c>
    </row>
    <row r="34" spans="1:3" x14ac:dyDescent="0.45">
      <c r="A34" s="2" t="e">
        <f>Plate!D68</f>
        <v>#DIV/0!</v>
      </c>
      <c r="C34" t="str">
        <f t="array" ref="C34">IFERROR(INDEX(A$1:A$72,MATCH(SUM(COUNTIF(C$1:C33,A$1:A$72)),COUNTIF(A$1:A$72,"&lt;"&amp;A$1:A$72),0)),"")</f>
        <v/>
      </c>
    </row>
    <row r="35" spans="1:3" x14ac:dyDescent="0.45">
      <c r="A35" s="2" t="e">
        <f>Plate!D70</f>
        <v>#DIV/0!</v>
      </c>
      <c r="C35" t="str">
        <f t="array" ref="C35">IFERROR(INDEX(A$1:A$72,MATCH(SUM(COUNTIF(C$1:C34,A$1:A$72)),COUNTIF(A$1:A$72,"&lt;"&amp;A$1:A$72),0)),"")</f>
        <v/>
      </c>
    </row>
    <row r="36" spans="1:3" x14ac:dyDescent="0.45">
      <c r="A36" s="2" t="e">
        <f>Plate!D72</f>
        <v>#DIV/0!</v>
      </c>
      <c r="C36" t="str">
        <f t="array" ref="C36">IFERROR(INDEX(A$1:A$72,MATCH(SUM(COUNTIF(C$1:C35,A$1:A$72)),COUNTIF(A$1:A$72,"&lt;"&amp;A$1:A$72),0)),"")</f>
        <v/>
      </c>
    </row>
    <row r="37" spans="1:3" x14ac:dyDescent="0.45">
      <c r="A37" s="2" t="e">
        <f>Plate!F36</f>
        <v>#DIV/0!</v>
      </c>
      <c r="C37" t="str">
        <f t="array" ref="C37">IFERROR(INDEX(A$1:A$72,MATCH(SUM(COUNTIF(C$1:C36,A$1:A$72)),COUNTIF(A$1:A$72,"&lt;"&amp;A$1:A$72),0)),"")</f>
        <v/>
      </c>
    </row>
    <row r="38" spans="1:3" x14ac:dyDescent="0.45">
      <c r="A38" s="2" t="e">
        <f>Plate!F38</f>
        <v>#DIV/0!</v>
      </c>
      <c r="C38" t="str">
        <f t="array" ref="C38">IFERROR(INDEX(A$1:A$72,MATCH(SUM(COUNTIF(C$1:C37,A$1:A$72)),COUNTIF(A$1:A$72,"&lt;"&amp;A$1:A$72),0)),"")</f>
        <v/>
      </c>
    </row>
    <row r="39" spans="1:3" x14ac:dyDescent="0.45">
      <c r="A39" s="2" t="e">
        <f>Plate!F40</f>
        <v>#DIV/0!</v>
      </c>
      <c r="C39" t="str">
        <f t="array" ref="C39">IFERROR(INDEX(A$1:A$72,MATCH(SUM(COUNTIF(C$1:C38,A$1:A$72)),COUNTIF(A$1:A$72,"&lt;"&amp;A$1:A$72),0)),"")</f>
        <v/>
      </c>
    </row>
    <row r="40" spans="1:3" x14ac:dyDescent="0.45">
      <c r="A40" s="2" t="e">
        <f>Plate!F42</f>
        <v>#DIV/0!</v>
      </c>
      <c r="C40" t="str">
        <f t="array" ref="C40">IFERROR(INDEX(A$1:A$72,MATCH(SUM(COUNTIF(C$1:C39,A$1:A$72)),COUNTIF(A$1:A$72,"&lt;"&amp;A$1:A$72),0)),"")</f>
        <v/>
      </c>
    </row>
    <row r="41" spans="1:3" x14ac:dyDescent="0.45">
      <c r="A41" s="2" t="e">
        <f>Plate!F44</f>
        <v>#DIV/0!</v>
      </c>
      <c r="C41" t="str">
        <f t="array" ref="C41">IFERROR(INDEX(A$1:A$72,MATCH(SUM(COUNTIF(C$1:C40,A$1:A$72)),COUNTIF(A$1:A$72,"&lt;"&amp;A$1:A$72),0)),"")</f>
        <v/>
      </c>
    </row>
    <row r="42" spans="1:3" x14ac:dyDescent="0.45">
      <c r="A42" s="2" t="e">
        <f>Plate!F46</f>
        <v>#DIV/0!</v>
      </c>
      <c r="C42" t="str">
        <f t="array" ref="C42">IFERROR(INDEX(A$1:A$72,MATCH(SUM(COUNTIF(C$1:C41,A$1:A$72)),COUNTIF(A$1:A$72,"&lt;"&amp;A$1:A$72),0)),"")</f>
        <v/>
      </c>
    </row>
    <row r="43" spans="1:3" x14ac:dyDescent="0.45">
      <c r="A43" s="2" t="e">
        <f>Plate!F49</f>
        <v>#DIV/0!</v>
      </c>
      <c r="C43" t="str">
        <f t="array" ref="C43">IFERROR(INDEX(A$1:A$72,MATCH(SUM(COUNTIF(C$1:C42,A$1:A$72)),COUNTIF(A$1:A$72,"&lt;"&amp;A$1:A$72),0)),"")</f>
        <v/>
      </c>
    </row>
    <row r="44" spans="1:3" x14ac:dyDescent="0.45">
      <c r="A44" s="2" t="e">
        <f>Plate!F51</f>
        <v>#DIV/0!</v>
      </c>
      <c r="C44" t="str">
        <f t="array" ref="C44">IFERROR(INDEX(A$1:A$72,MATCH(SUM(COUNTIF(C$1:C43,A$1:A$72)),COUNTIF(A$1:A$72,"&lt;"&amp;A$1:A$72),0)),"")</f>
        <v/>
      </c>
    </row>
    <row r="45" spans="1:3" x14ac:dyDescent="0.45">
      <c r="A45" s="2" t="e">
        <f>Plate!F53</f>
        <v>#DIV/0!</v>
      </c>
      <c r="C45" t="str">
        <f t="array" ref="C45">IFERROR(INDEX(A$1:A$72,MATCH(SUM(COUNTIF(C$1:C44,A$1:A$72)),COUNTIF(A$1:A$72,"&lt;"&amp;A$1:A$72),0)),"")</f>
        <v/>
      </c>
    </row>
    <row r="46" spans="1:3" x14ac:dyDescent="0.45">
      <c r="A46" s="2" t="e">
        <f>Plate!F55</f>
        <v>#DIV/0!</v>
      </c>
      <c r="C46" t="str">
        <f t="array" ref="C46">IFERROR(INDEX(A$1:A$72,MATCH(SUM(COUNTIF(C$1:C45,A$1:A$72)),COUNTIF(A$1:A$72,"&lt;"&amp;A$1:A$72),0)),"")</f>
        <v/>
      </c>
    </row>
    <row r="47" spans="1:3" x14ac:dyDescent="0.45">
      <c r="A47" s="2" t="e">
        <f>Plate!F57</f>
        <v>#DIV/0!</v>
      </c>
      <c r="C47" t="str">
        <f t="array" ref="C47">IFERROR(INDEX(A$1:A$72,MATCH(SUM(COUNTIF(C$1:C46,A$1:A$72)),COUNTIF(A$1:A$72,"&lt;"&amp;A$1:A$72),0)),"")</f>
        <v/>
      </c>
    </row>
    <row r="48" spans="1:3" x14ac:dyDescent="0.45">
      <c r="A48" s="2" t="e">
        <f>Plate!F59</f>
        <v>#DIV/0!</v>
      </c>
    </row>
    <row r="49" spans="1:1" x14ac:dyDescent="0.45">
      <c r="A49" s="2" t="e">
        <f>Plate!F62</f>
        <v>#DIV/0!</v>
      </c>
    </row>
    <row r="50" spans="1:1" x14ac:dyDescent="0.45">
      <c r="A50" s="2" t="e">
        <f>Plate!F64</f>
        <v>#DIV/0!</v>
      </c>
    </row>
    <row r="51" spans="1:1" x14ac:dyDescent="0.45">
      <c r="A51" s="2" t="e">
        <f>Plate!F66</f>
        <v>#DIV/0!</v>
      </c>
    </row>
    <row r="52" spans="1:1" x14ac:dyDescent="0.45">
      <c r="A52" s="2" t="e">
        <f>Plate!F68</f>
        <v>#DIV/0!</v>
      </c>
    </row>
    <row r="53" spans="1:1" x14ac:dyDescent="0.45">
      <c r="A53" s="2" t="e">
        <f>Plate!F70</f>
        <v>#DIV/0!</v>
      </c>
    </row>
    <row r="54" spans="1:1" x14ac:dyDescent="0.45">
      <c r="A54" s="2" t="e">
        <f>Plate!F72</f>
        <v>#DIV/0!</v>
      </c>
    </row>
    <row r="55" spans="1:1" x14ac:dyDescent="0.45">
      <c r="A55" s="2" t="e">
        <f>Plate!$B$75</f>
        <v>#DIV/0!</v>
      </c>
    </row>
    <row r="56" spans="1:1" x14ac:dyDescent="0.45">
      <c r="A56" s="2" t="e">
        <f>Plate!$B$77</f>
        <v>#DIV/0!</v>
      </c>
    </row>
    <row r="57" spans="1:1" x14ac:dyDescent="0.45">
      <c r="A57" s="2" t="e">
        <f>Plate!$B$79</f>
        <v>#DIV/0!</v>
      </c>
    </row>
    <row r="58" spans="1:1" x14ac:dyDescent="0.45">
      <c r="A58" s="2" t="e">
        <f>Plate!$B$81</f>
        <v>#DIV/0!</v>
      </c>
    </row>
    <row r="59" spans="1:1" x14ac:dyDescent="0.45">
      <c r="A59" s="2" t="e">
        <f>Plate!$B$83</f>
        <v>#DIV/0!</v>
      </c>
    </row>
    <row r="60" spans="1:1" x14ac:dyDescent="0.45">
      <c r="A60" s="2" t="e">
        <f>Plate!$B$85</f>
        <v>#DIV/0!</v>
      </c>
    </row>
    <row r="61" spans="1:1" x14ac:dyDescent="0.45">
      <c r="A61" s="2" t="e">
        <f>Plate!$D$75</f>
        <v>#DIV/0!</v>
      </c>
    </row>
    <row r="62" spans="1:1" x14ac:dyDescent="0.45">
      <c r="A62" s="2" t="e">
        <f>Plate!$D$77</f>
        <v>#DIV/0!</v>
      </c>
    </row>
    <row r="63" spans="1:1" x14ac:dyDescent="0.45">
      <c r="A63" s="2" t="e">
        <f>Plate!$D$79</f>
        <v>#DIV/0!</v>
      </c>
    </row>
    <row r="64" spans="1:1" x14ac:dyDescent="0.45">
      <c r="A64" s="2" t="e">
        <f>Plate!$D$81</f>
        <v>#DIV/0!</v>
      </c>
    </row>
    <row r="65" spans="1:1" x14ac:dyDescent="0.45">
      <c r="A65" s="2" t="e">
        <f>Plate!$D$83</f>
        <v>#DIV/0!</v>
      </c>
    </row>
    <row r="66" spans="1:1" x14ac:dyDescent="0.45">
      <c r="A66" s="2" t="e">
        <f>Plate!$D$85</f>
        <v>#DIV/0!</v>
      </c>
    </row>
    <row r="67" spans="1:1" x14ac:dyDescent="0.45">
      <c r="A67" s="2" t="e">
        <f>Plate!$F$75</f>
        <v>#DIV/0!</v>
      </c>
    </row>
    <row r="68" spans="1:1" x14ac:dyDescent="0.45">
      <c r="A68" s="2" t="e">
        <f>Plate!$F$77</f>
        <v>#DIV/0!</v>
      </c>
    </row>
    <row r="69" spans="1:1" x14ac:dyDescent="0.45">
      <c r="A69" s="2" t="e">
        <f>Plate!$F$79</f>
        <v>#DIV/0!</v>
      </c>
    </row>
    <row r="70" spans="1:1" x14ac:dyDescent="0.45">
      <c r="A70" s="2" t="e">
        <f>Plate!$F$81</f>
        <v>#DIV/0!</v>
      </c>
    </row>
    <row r="71" spans="1:1" x14ac:dyDescent="0.45">
      <c r="A71" s="2" t="e">
        <f>Plate!$F$83</f>
        <v>#DIV/0!</v>
      </c>
    </row>
    <row r="72" spans="1:1" x14ac:dyDescent="0.45">
      <c r="A72" s="2" t="e">
        <f>Plate!$F$85</f>
        <v>#DIV/0!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workbookViewId="0">
      <selection activeCell="B5" sqref="B5"/>
    </sheetView>
  </sheetViews>
  <sheetFormatPr defaultRowHeight="14.25" x14ac:dyDescent="0.45"/>
  <cols>
    <col min="2" max="2" width="22.86328125" customWidth="1"/>
    <col min="3" max="3" width="24.59765625" customWidth="1"/>
    <col min="4" max="4" width="4.9296875" customWidth="1"/>
    <col min="5" max="5" width="6.53125" customWidth="1"/>
    <col min="6" max="6" width="26.3984375" customWidth="1"/>
    <col min="7" max="7" width="29.6640625" customWidth="1"/>
    <col min="8" max="8" width="30.1328125" customWidth="1"/>
    <col min="9" max="9" width="12.73046875" customWidth="1"/>
    <col min="10" max="10" width="13" customWidth="1"/>
    <col min="11" max="11" width="22" customWidth="1"/>
    <col min="12" max="13" width="21.06640625" customWidth="1"/>
    <col min="14" max="14" width="26.86328125" customWidth="1"/>
  </cols>
  <sheetData>
    <row r="1" spans="1:14" x14ac:dyDescent="0.45">
      <c r="A1" s="82" t="str">
        <f>Plate!A36</f>
        <v>A1</v>
      </c>
      <c r="B1" s="83" t="str">
        <f>Plate!B36</f>
        <v>Glucose 500mM 0.052x</v>
      </c>
      <c r="C1" s="84" t="str">
        <f>Plate!D36</f>
        <v>Oligom 8mg/ml 0.001x</v>
      </c>
    </row>
    <row r="2" spans="1:14" x14ac:dyDescent="0.45">
      <c r="A2" s="85" t="str">
        <f>Plate!A38</f>
        <v>B1</v>
      </c>
      <c r="B2" s="86" t="str">
        <f>Plate!B38</f>
        <v>Glucose+FCCP 120uM 0.00167x</v>
      </c>
      <c r="C2" s="87" t="str">
        <f>Plate!D38</f>
        <v>Oligom 8mg/ml 0.001x</v>
      </c>
    </row>
    <row r="3" spans="1:14" x14ac:dyDescent="0.45">
      <c r="A3" s="85" t="str">
        <f>Plate!A40</f>
        <v>C1</v>
      </c>
      <c r="B3" s="86" t="e">
        <f>Plate!B40</f>
        <v>#DIV/0!</v>
      </c>
      <c r="C3" s="87" t="e">
        <f>Plate!D40</f>
        <v>#DIV/0!</v>
      </c>
    </row>
    <row r="4" spans="1:14" x14ac:dyDescent="0.45">
      <c r="A4" s="85" t="str">
        <f>Plate!A42</f>
        <v>D1</v>
      </c>
      <c r="B4" s="86" t="e">
        <f>Plate!B42</f>
        <v>#DIV/0!</v>
      </c>
      <c r="C4" s="87" t="e">
        <f>Plate!D42</f>
        <v>#DIV/0!</v>
      </c>
    </row>
    <row r="5" spans="1:14" x14ac:dyDescent="0.45">
      <c r="A5" s="85" t="str">
        <f>Plate!A44</f>
        <v>E1</v>
      </c>
      <c r="B5" s="86" t="e">
        <f>Plate!B44</f>
        <v>#DIV/0!</v>
      </c>
      <c r="C5" s="87" t="e">
        <f>Plate!D44</f>
        <v>#DIV/0!</v>
      </c>
    </row>
    <row r="6" spans="1:14" ht="14.65" thickBot="1" x14ac:dyDescent="0.5">
      <c r="A6" s="88" t="str">
        <f>Plate!A46</f>
        <v>F1</v>
      </c>
      <c r="B6" s="89" t="e">
        <f>Plate!B46</f>
        <v>#DIV/0!</v>
      </c>
      <c r="C6" s="90" t="e">
        <f>Plate!D46</f>
        <v>#DIV/0!</v>
      </c>
    </row>
    <row r="7" spans="1:14" ht="14.65" thickBot="1" x14ac:dyDescent="0.5">
      <c r="A7" s="91"/>
      <c r="B7" s="92"/>
      <c r="C7" s="93"/>
      <c r="E7" t="s">
        <v>95</v>
      </c>
    </row>
    <row r="8" spans="1:14" ht="14.65" thickBot="1" x14ac:dyDescent="0.5">
      <c r="A8" s="82" t="str">
        <f>Plate!A49</f>
        <v>A2</v>
      </c>
      <c r="B8" s="83" t="e">
        <f>Plate!B49</f>
        <v>#DIV/0!</v>
      </c>
      <c r="C8" s="84" t="e">
        <f>Plate!D49</f>
        <v>#DIV/0!</v>
      </c>
      <c r="E8" s="1" t="s">
        <v>92</v>
      </c>
    </row>
    <row r="9" spans="1:14" ht="14.65" thickBot="1" x14ac:dyDescent="0.5">
      <c r="A9" s="85" t="str">
        <f>Plate!A51</f>
        <v>B2</v>
      </c>
      <c r="B9" s="86" t="e">
        <f>Plate!B51</f>
        <v>#DIV/0!</v>
      </c>
      <c r="C9" s="87" t="e">
        <f>Plate!D51</f>
        <v>#DIV/0!</v>
      </c>
      <c r="E9" s="78"/>
      <c r="F9" s="77" t="s">
        <v>93</v>
      </c>
      <c r="G9" s="76">
        <v>2</v>
      </c>
      <c r="H9" s="76">
        <v>3</v>
      </c>
      <c r="I9" s="76">
        <v>4</v>
      </c>
      <c r="J9" s="76">
        <v>5</v>
      </c>
      <c r="K9" s="76" t="s">
        <v>94</v>
      </c>
      <c r="L9" s="76">
        <v>7</v>
      </c>
      <c r="M9" s="111">
        <v>8</v>
      </c>
      <c r="N9" s="113">
        <v>9</v>
      </c>
    </row>
    <row r="10" spans="1:14" x14ac:dyDescent="0.45">
      <c r="A10" s="85" t="str">
        <f>Plate!A53</f>
        <v>C2</v>
      </c>
      <c r="B10" s="86" t="e">
        <f>Plate!B53</f>
        <v>#DIV/0!</v>
      </c>
      <c r="C10" s="87" t="e">
        <f>Plate!D53</f>
        <v>#DIV/0!</v>
      </c>
      <c r="E10" s="79" t="s">
        <v>86</v>
      </c>
      <c r="F10" s="71" t="str">
        <f t="shared" ref="F10:F15" si="0">B1</f>
        <v>Glucose 500mM 0.052x</v>
      </c>
      <c r="G10" s="72" t="e">
        <f t="shared" ref="G10:G15" si="1">B8</f>
        <v>#DIV/0!</v>
      </c>
      <c r="H10" s="73" t="e">
        <f t="shared" ref="H10:H15" si="2">B15</f>
        <v>#DIV/0!</v>
      </c>
      <c r="I10" s="108" t="e">
        <f t="shared" ref="I10:I15" si="3">B22</f>
        <v>#DIV/0!</v>
      </c>
      <c r="J10" s="81"/>
      <c r="K10" s="71" t="str">
        <f t="shared" ref="K10:K15" si="4">C1</f>
        <v>Oligom 8mg/ml 0.001x</v>
      </c>
      <c r="L10" s="72" t="e">
        <f t="shared" ref="L10:L15" si="5">C8</f>
        <v>#DIV/0!</v>
      </c>
      <c r="M10" s="112" t="e">
        <f t="shared" ref="M10:M15" si="6">C15</f>
        <v>#DIV/0!</v>
      </c>
      <c r="N10" s="115" t="e">
        <f t="shared" ref="N10:N15" si="7">C22</f>
        <v>#DIV/0!</v>
      </c>
    </row>
    <row r="11" spans="1:14" x14ac:dyDescent="0.45">
      <c r="A11" s="85" t="str">
        <f>Plate!A55</f>
        <v>D2</v>
      </c>
      <c r="B11" s="86" t="e">
        <f>Plate!B55</f>
        <v>#DIV/0!</v>
      </c>
      <c r="C11" s="87" t="e">
        <f>Plate!D55</f>
        <v>#DIV/0!</v>
      </c>
      <c r="E11" s="80" t="s">
        <v>87</v>
      </c>
      <c r="F11" s="74" t="str">
        <f t="shared" si="0"/>
        <v>Glucose+FCCP 120uM 0.00167x</v>
      </c>
      <c r="G11" s="3" t="e">
        <f t="shared" si="1"/>
        <v>#DIV/0!</v>
      </c>
      <c r="H11" s="75" t="e">
        <f t="shared" si="2"/>
        <v>#DIV/0!</v>
      </c>
      <c r="I11" s="109" t="e">
        <f t="shared" si="3"/>
        <v>#DIV/0!</v>
      </c>
      <c r="J11" s="70"/>
      <c r="K11" s="74" t="str">
        <f t="shared" si="4"/>
        <v>Oligom 8mg/ml 0.001x</v>
      </c>
      <c r="L11" s="3" t="e">
        <f t="shared" si="5"/>
        <v>#DIV/0!</v>
      </c>
      <c r="M11" s="70" t="e">
        <f t="shared" si="6"/>
        <v>#DIV/0!</v>
      </c>
      <c r="N11" s="116" t="e">
        <f t="shared" si="7"/>
        <v>#DIV/0!</v>
      </c>
    </row>
    <row r="12" spans="1:14" x14ac:dyDescent="0.45">
      <c r="A12" s="85" t="str">
        <f>Plate!A57</f>
        <v>E2</v>
      </c>
      <c r="B12" s="86" t="e">
        <f>Plate!B57</f>
        <v>#DIV/0!</v>
      </c>
      <c r="C12" s="87" t="e">
        <f>Plate!D57</f>
        <v>#DIV/0!</v>
      </c>
      <c r="E12" s="80" t="s">
        <v>88</v>
      </c>
      <c r="F12" s="74" t="e">
        <f t="shared" si="0"/>
        <v>#DIV/0!</v>
      </c>
      <c r="G12" s="3" t="e">
        <f t="shared" si="1"/>
        <v>#DIV/0!</v>
      </c>
      <c r="H12" s="75" t="e">
        <f t="shared" si="2"/>
        <v>#DIV/0!</v>
      </c>
      <c r="I12" s="109" t="e">
        <f t="shared" si="3"/>
        <v>#DIV/0!</v>
      </c>
      <c r="J12" s="70"/>
      <c r="K12" s="74" t="e">
        <f t="shared" si="4"/>
        <v>#DIV/0!</v>
      </c>
      <c r="L12" s="3" t="e">
        <f t="shared" si="5"/>
        <v>#DIV/0!</v>
      </c>
      <c r="M12" s="70" t="e">
        <f t="shared" si="6"/>
        <v>#DIV/0!</v>
      </c>
      <c r="N12" s="116" t="e">
        <f t="shared" si="7"/>
        <v>#DIV/0!</v>
      </c>
    </row>
    <row r="13" spans="1:14" ht="14.65" thickBot="1" x14ac:dyDescent="0.5">
      <c r="A13" s="88" t="str">
        <f>Plate!A59</f>
        <v>F2</v>
      </c>
      <c r="B13" s="89" t="e">
        <f>Plate!B59</f>
        <v>#DIV/0!</v>
      </c>
      <c r="C13" s="90" t="e">
        <f>Plate!D59</f>
        <v>#DIV/0!</v>
      </c>
      <c r="E13" s="80" t="s">
        <v>89</v>
      </c>
      <c r="F13" s="74" t="e">
        <f t="shared" si="0"/>
        <v>#DIV/0!</v>
      </c>
      <c r="G13" s="3" t="e">
        <f t="shared" si="1"/>
        <v>#DIV/0!</v>
      </c>
      <c r="H13" s="75" t="e">
        <f t="shared" si="2"/>
        <v>#DIV/0!</v>
      </c>
      <c r="I13" s="109" t="e">
        <f t="shared" si="3"/>
        <v>#DIV/0!</v>
      </c>
      <c r="J13" s="70"/>
      <c r="K13" s="74" t="e">
        <f t="shared" si="4"/>
        <v>#DIV/0!</v>
      </c>
      <c r="L13" s="3" t="e">
        <f t="shared" si="5"/>
        <v>#DIV/0!</v>
      </c>
      <c r="M13" s="70" t="e">
        <f t="shared" si="6"/>
        <v>#DIV/0!</v>
      </c>
      <c r="N13" s="116" t="e">
        <f t="shared" si="7"/>
        <v>#DIV/0!</v>
      </c>
    </row>
    <row r="14" spans="1:14" ht="14.65" thickBot="1" x14ac:dyDescent="0.5">
      <c r="A14" s="91"/>
      <c r="B14" s="92"/>
      <c r="C14" s="93"/>
      <c r="E14" s="80" t="s">
        <v>90</v>
      </c>
      <c r="F14" s="74" t="e">
        <f t="shared" si="0"/>
        <v>#DIV/0!</v>
      </c>
      <c r="G14" s="3" t="e">
        <f t="shared" si="1"/>
        <v>#DIV/0!</v>
      </c>
      <c r="H14" s="75" t="e">
        <f t="shared" si="2"/>
        <v>#DIV/0!</v>
      </c>
      <c r="I14" s="109" t="e">
        <f t="shared" si="3"/>
        <v>#DIV/0!</v>
      </c>
      <c r="J14" s="70"/>
      <c r="K14" s="74" t="e">
        <f t="shared" si="4"/>
        <v>#DIV/0!</v>
      </c>
      <c r="L14" s="3" t="e">
        <f t="shared" si="5"/>
        <v>#DIV/0!</v>
      </c>
      <c r="M14" s="70" t="e">
        <f t="shared" si="6"/>
        <v>#DIV/0!</v>
      </c>
      <c r="N14" s="116" t="e">
        <f t="shared" si="7"/>
        <v>#DIV/0!</v>
      </c>
    </row>
    <row r="15" spans="1:14" ht="14.65" thickBot="1" x14ac:dyDescent="0.5">
      <c r="A15" s="82" t="str">
        <f>Plate!A62</f>
        <v>A3</v>
      </c>
      <c r="B15" s="83" t="e">
        <f>Plate!B62</f>
        <v>#DIV/0!</v>
      </c>
      <c r="C15" s="84" t="e">
        <f>Plate!D62</f>
        <v>#DIV/0!</v>
      </c>
      <c r="E15" s="95" t="s">
        <v>91</v>
      </c>
      <c r="F15" s="96" t="e">
        <f t="shared" si="0"/>
        <v>#DIV/0!</v>
      </c>
      <c r="G15" s="97" t="e">
        <f t="shared" si="1"/>
        <v>#DIV/0!</v>
      </c>
      <c r="H15" s="98" t="e">
        <f t="shared" si="2"/>
        <v>#DIV/0!</v>
      </c>
      <c r="I15" s="110" t="e">
        <f t="shared" si="3"/>
        <v>#DIV/0!</v>
      </c>
      <c r="J15" s="99"/>
      <c r="K15" s="96" t="e">
        <f t="shared" si="4"/>
        <v>#DIV/0!</v>
      </c>
      <c r="L15" s="97" t="e">
        <f t="shared" si="5"/>
        <v>#DIV/0!</v>
      </c>
      <c r="M15" s="99" t="e">
        <f t="shared" si="6"/>
        <v>#DIV/0!</v>
      </c>
      <c r="N15" s="117" t="e">
        <f t="shared" si="7"/>
        <v>#DIV/0!</v>
      </c>
    </row>
    <row r="16" spans="1:14" ht="28.9" thickBot="1" x14ac:dyDescent="0.5">
      <c r="A16" s="85" t="str">
        <f>Plate!A64</f>
        <v>B3</v>
      </c>
      <c r="B16" s="86" t="e">
        <f>Plate!B64</f>
        <v>#DIV/0!</v>
      </c>
      <c r="C16" s="87" t="e">
        <f>Plate!D64</f>
        <v>#DIV/0!</v>
      </c>
      <c r="E16" s="78" t="s">
        <v>96</v>
      </c>
      <c r="F16" s="101" t="s">
        <v>97</v>
      </c>
      <c r="G16" s="100"/>
      <c r="H16" s="100"/>
      <c r="I16" s="100"/>
      <c r="J16" s="100"/>
      <c r="K16" s="100"/>
      <c r="L16" s="100"/>
      <c r="M16" s="100"/>
      <c r="N16" s="114"/>
    </row>
    <row r="17" spans="1:3" x14ac:dyDescent="0.45">
      <c r="A17" s="85" t="str">
        <f>Plate!A66</f>
        <v>C3</v>
      </c>
      <c r="B17" s="86" t="e">
        <f>Plate!B66</f>
        <v>#DIV/0!</v>
      </c>
      <c r="C17" s="87" t="e">
        <f>Plate!D66</f>
        <v>#DIV/0!</v>
      </c>
    </row>
    <row r="18" spans="1:3" x14ac:dyDescent="0.45">
      <c r="A18" s="85" t="str">
        <f>Plate!A68</f>
        <v>D3</v>
      </c>
      <c r="B18" s="86" t="e">
        <f>Plate!B68</f>
        <v>#DIV/0!</v>
      </c>
      <c r="C18" s="87" t="e">
        <f>Plate!D68</f>
        <v>#DIV/0!</v>
      </c>
    </row>
    <row r="19" spans="1:3" x14ac:dyDescent="0.45">
      <c r="A19" s="85" t="str">
        <f>Plate!A70</f>
        <v>E3</v>
      </c>
      <c r="B19" s="86" t="e">
        <f>Plate!B70</f>
        <v>#DIV/0!</v>
      </c>
      <c r="C19" s="87" t="e">
        <f>Plate!D70</f>
        <v>#DIV/0!</v>
      </c>
    </row>
    <row r="20" spans="1:3" ht="14.65" thickBot="1" x14ac:dyDescent="0.5">
      <c r="A20" s="88" t="str">
        <f>Plate!A72</f>
        <v>F3</v>
      </c>
      <c r="B20" s="89" t="e">
        <f>Plate!B72</f>
        <v>#DIV/0!</v>
      </c>
      <c r="C20" s="90" t="e">
        <f>Plate!D72</f>
        <v>#DIV/0!</v>
      </c>
    </row>
    <row r="21" spans="1:3" ht="14.65" thickBot="1" x14ac:dyDescent="0.5">
      <c r="A21" s="91"/>
      <c r="B21" s="92"/>
      <c r="C21" s="93"/>
    </row>
    <row r="22" spans="1:3" x14ac:dyDescent="0.45">
      <c r="A22" s="82" t="str">
        <f>Plate!A75</f>
        <v>A4</v>
      </c>
      <c r="B22" s="102" t="e">
        <f>Plate!B75</f>
        <v>#DIV/0!</v>
      </c>
      <c r="C22" s="103" t="e">
        <f>Plate!D75</f>
        <v>#DIV/0!</v>
      </c>
    </row>
    <row r="23" spans="1:3" x14ac:dyDescent="0.45">
      <c r="A23" s="85" t="str">
        <f>Plate!A77</f>
        <v>B4</v>
      </c>
      <c r="B23" s="104" t="e">
        <f>Plate!B77</f>
        <v>#DIV/0!</v>
      </c>
      <c r="C23" s="105" t="e">
        <f>Plate!D77</f>
        <v>#DIV/0!</v>
      </c>
    </row>
    <row r="24" spans="1:3" x14ac:dyDescent="0.45">
      <c r="A24" s="85" t="str">
        <f>Plate!A79</f>
        <v>C4</v>
      </c>
      <c r="B24" s="104" t="e">
        <f>Plate!B79</f>
        <v>#DIV/0!</v>
      </c>
      <c r="C24" s="105" t="e">
        <f>Plate!D79</f>
        <v>#DIV/0!</v>
      </c>
    </row>
    <row r="25" spans="1:3" x14ac:dyDescent="0.45">
      <c r="A25" s="85" t="str">
        <f>Plate!A81</f>
        <v>D4</v>
      </c>
      <c r="B25" s="104" t="e">
        <f>Plate!B81</f>
        <v>#DIV/0!</v>
      </c>
      <c r="C25" s="105" t="e">
        <f>Plate!D81</f>
        <v>#DIV/0!</v>
      </c>
    </row>
    <row r="26" spans="1:3" x14ac:dyDescent="0.45">
      <c r="A26" s="85" t="str">
        <f>Plate!A83</f>
        <v>E4</v>
      </c>
      <c r="B26" s="104" t="e">
        <f>Plate!B83</f>
        <v>#DIV/0!</v>
      </c>
      <c r="C26" s="105" t="e">
        <f>Plate!D83</f>
        <v>#DIV/0!</v>
      </c>
    </row>
    <row r="27" spans="1:3" ht="14.65" thickBot="1" x14ac:dyDescent="0.5">
      <c r="A27" s="88" t="str">
        <f>Plate!A85</f>
        <v>F4</v>
      </c>
      <c r="B27" s="106" t="e">
        <f>Plate!B85</f>
        <v>#DIV/0!</v>
      </c>
      <c r="C27" s="107" t="e">
        <f>Plate!D85</f>
        <v>#DIV/0!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4"/>
  <sheetViews>
    <sheetView workbookViewId="0">
      <selection activeCell="B27" sqref="B27:B74"/>
    </sheetView>
  </sheetViews>
  <sheetFormatPr defaultRowHeight="14.25" x14ac:dyDescent="0.45"/>
  <sheetData>
    <row r="1" spans="1:2" x14ac:dyDescent="0.45">
      <c r="A1" t="str">
        <f>Plate!A2</f>
        <v>A1</v>
      </c>
      <c r="B1" t="str">
        <f>"("&amp;Plate!L2&amp;")"&amp;Plate!B2&amp;Plate!C2&amp;";"&amp;Plate!H2&amp;Plate!I2&amp;";"&amp;Plate!N2&amp;Plate!O2</f>
        <v>()Glucose13;Oligom2;</v>
      </c>
    </row>
    <row r="2" spans="1:2" x14ac:dyDescent="0.45">
      <c r="A2" t="str">
        <f>Plate!A3</f>
        <v>B1</v>
      </c>
      <c r="B2" t="str">
        <f>"("&amp;Plate!L3&amp;")"&amp;Plate!B3&amp;Plate!C3&amp;";"&amp;Plate!H3&amp;Plate!I3&amp;";"&amp;Plate!N3&amp;Plate!O3</f>
        <v>()Glucose+FCCP100;Oligom2;</v>
      </c>
    </row>
    <row r="3" spans="1:2" x14ac:dyDescent="0.45">
      <c r="A3" t="str">
        <f>Plate!A4</f>
        <v>C1</v>
      </c>
      <c r="B3" t="str">
        <f>"("&amp;Plate!L4&amp;")"&amp;Plate!B4&amp;Plate!C4&amp;";"&amp;Plate!H4&amp;Plate!I4&amp;";"&amp;Plate!N4&amp;Plate!O4</f>
        <v>();;</v>
      </c>
    </row>
    <row r="4" spans="1:2" x14ac:dyDescent="0.45">
      <c r="A4" t="str">
        <f>Plate!A5</f>
        <v>D1</v>
      </c>
      <c r="B4" t="str">
        <f>"("&amp;Plate!L5&amp;")"&amp;Plate!B5&amp;Plate!C5&amp;";"&amp;Plate!H5&amp;Plate!I5&amp;";"&amp;Plate!N5&amp;Plate!O5</f>
        <v>();;</v>
      </c>
    </row>
    <row r="5" spans="1:2" x14ac:dyDescent="0.45">
      <c r="A5" t="str">
        <f>Plate!A6</f>
        <v>E1</v>
      </c>
      <c r="B5" t="str">
        <f>"("&amp;Plate!L6&amp;")"&amp;Plate!B6&amp;Plate!C6&amp;";"&amp;Plate!H6&amp;Plate!I6&amp;";"&amp;Plate!N6&amp;Plate!O6</f>
        <v>();;</v>
      </c>
    </row>
    <row r="6" spans="1:2" x14ac:dyDescent="0.45">
      <c r="A6" t="str">
        <f>Plate!A7</f>
        <v>F1</v>
      </c>
      <c r="B6" t="str">
        <f>"("&amp;Plate!L7&amp;")"&amp;Plate!B7&amp;Plate!C7&amp;";"&amp;Plate!H7&amp;Plate!I7&amp;";"&amp;Plate!N7&amp;Plate!O7</f>
        <v>();;</v>
      </c>
    </row>
    <row r="7" spans="1:2" x14ac:dyDescent="0.45">
      <c r="A7" t="str">
        <f>Plate!A8</f>
        <v>A2</v>
      </c>
      <c r="B7" t="str">
        <f>"("&amp;Plate!L8&amp;")"&amp;Plate!B8&amp;Plate!C8&amp;";"&amp;Plate!H8&amp;Plate!I8&amp;";"&amp;Plate!N8&amp;Plate!O8</f>
        <v>();;</v>
      </c>
    </row>
    <row r="8" spans="1:2" x14ac:dyDescent="0.45">
      <c r="A8" t="str">
        <f>Plate!A9</f>
        <v>B2</v>
      </c>
      <c r="B8" t="str">
        <f>"("&amp;Plate!L9&amp;")"&amp;Plate!B9&amp;Plate!C9&amp;";"&amp;Plate!H9&amp;Plate!I9&amp;";"&amp;Plate!N9&amp;Plate!O9</f>
        <v>();;</v>
      </c>
    </row>
    <row r="9" spans="1:2" x14ac:dyDescent="0.45">
      <c r="A9" t="str">
        <f>Plate!A10</f>
        <v>C2</v>
      </c>
      <c r="B9" t="str">
        <f>"("&amp;Plate!L10&amp;")"&amp;Plate!B10&amp;Plate!C10&amp;";"&amp;Plate!H10&amp;Plate!I10&amp;";"&amp;Plate!N10&amp;Plate!O10</f>
        <v>();;</v>
      </c>
    </row>
    <row r="10" spans="1:2" x14ac:dyDescent="0.45">
      <c r="A10" t="str">
        <f>Plate!A11</f>
        <v>D2</v>
      </c>
      <c r="B10" t="str">
        <f>"("&amp;Plate!L11&amp;")"&amp;Plate!B11&amp;Plate!C11&amp;";"&amp;Plate!H11&amp;Plate!I11&amp;";"&amp;Plate!N11&amp;Plate!O11</f>
        <v>();;</v>
      </c>
    </row>
    <row r="11" spans="1:2" x14ac:dyDescent="0.45">
      <c r="A11" t="str">
        <f>Plate!A12</f>
        <v>E2</v>
      </c>
      <c r="B11" t="str">
        <f>"("&amp;Plate!L12&amp;")"&amp;Plate!B12&amp;Plate!C12&amp;";"&amp;Plate!H12&amp;Plate!I12&amp;";"&amp;Plate!N12&amp;Plate!O12</f>
        <v>();;</v>
      </c>
    </row>
    <row r="12" spans="1:2" x14ac:dyDescent="0.45">
      <c r="A12" t="str">
        <f>Plate!A13</f>
        <v>F2</v>
      </c>
      <c r="B12" t="str">
        <f>"("&amp;Plate!L13&amp;")"&amp;Plate!B13&amp;Plate!C13&amp;";"&amp;Plate!H13&amp;Plate!I13&amp;";"&amp;Plate!N13&amp;Plate!O13</f>
        <v>();;</v>
      </c>
    </row>
    <row r="13" spans="1:2" x14ac:dyDescent="0.45">
      <c r="A13" t="str">
        <f>Plate!A14</f>
        <v>A3</v>
      </c>
      <c r="B13" t="str">
        <f>"("&amp;Plate!L14&amp;")"&amp;Plate!B14&amp;Plate!C14&amp;";"&amp;Plate!H14&amp;Plate!I14&amp;";"&amp;Plate!N14&amp;Plate!O14</f>
        <v>();;</v>
      </c>
    </row>
    <row r="14" spans="1:2" x14ac:dyDescent="0.45">
      <c r="A14" t="str">
        <f>Plate!A15</f>
        <v>B3</v>
      </c>
      <c r="B14" t="str">
        <f>"("&amp;Plate!L15&amp;")"&amp;Plate!B15&amp;Plate!C15&amp;";"&amp;Plate!H15&amp;Plate!I15&amp;";"&amp;Plate!N15&amp;Plate!O15</f>
        <v>();;</v>
      </c>
    </row>
    <row r="15" spans="1:2" x14ac:dyDescent="0.45">
      <c r="A15" t="str">
        <f>Plate!A16</f>
        <v>C3</v>
      </c>
      <c r="B15" t="str">
        <f>"("&amp;Plate!L16&amp;")"&amp;Plate!B16&amp;Plate!C16&amp;";"&amp;Plate!H16&amp;Plate!I16&amp;";"&amp;Plate!N16&amp;Plate!O16</f>
        <v>();;</v>
      </c>
    </row>
    <row r="16" spans="1:2" x14ac:dyDescent="0.45">
      <c r="A16" t="str">
        <f>Plate!A17</f>
        <v>D3</v>
      </c>
      <c r="B16" t="str">
        <f>"("&amp;Plate!L17&amp;")"&amp;Plate!B17&amp;Plate!C17&amp;";"&amp;Plate!H17&amp;Plate!I17&amp;";"&amp;Plate!N17&amp;Plate!O17</f>
        <v>();;</v>
      </c>
    </row>
    <row r="17" spans="1:2" x14ac:dyDescent="0.45">
      <c r="A17" t="str">
        <f>Plate!A18</f>
        <v>E3</v>
      </c>
      <c r="B17" t="str">
        <f>"("&amp;Plate!L18&amp;")"&amp;Plate!B18&amp;Plate!C18&amp;";"&amp;Plate!H18&amp;Plate!I18&amp;";"&amp;Plate!N18&amp;Plate!O18</f>
        <v>();;</v>
      </c>
    </row>
    <row r="18" spans="1:2" x14ac:dyDescent="0.45">
      <c r="A18" t="str">
        <f>Plate!A19</f>
        <v>F3</v>
      </c>
      <c r="B18" t="str">
        <f>"("&amp;Plate!L19&amp;")"&amp;Plate!B19&amp;Plate!C19&amp;";"&amp;Plate!H19&amp;Plate!I19&amp;";"&amp;Plate!N19&amp;Plate!O19</f>
        <v>();;</v>
      </c>
    </row>
    <row r="19" spans="1:2" x14ac:dyDescent="0.45">
      <c r="A19" t="str">
        <f>Plate!A20</f>
        <v>A4</v>
      </c>
      <c r="B19" t="str">
        <f>"("&amp;Plate!L20&amp;")"&amp;Plate!B20&amp;Plate!C20&amp;";"&amp;Plate!H20&amp;Plate!I20&amp;";"&amp;Plate!N20&amp;Plate!O20</f>
        <v>();;</v>
      </c>
    </row>
    <row r="20" spans="1:2" x14ac:dyDescent="0.45">
      <c r="A20" t="str">
        <f>Plate!A21</f>
        <v>B4</v>
      </c>
      <c r="B20" t="str">
        <f>"("&amp;Plate!L21&amp;")"&amp;Plate!B21&amp;Plate!C21&amp;";"&amp;Plate!H21&amp;Plate!I21&amp;";"&amp;Plate!N21&amp;Plate!O21</f>
        <v>();;</v>
      </c>
    </row>
    <row r="21" spans="1:2" x14ac:dyDescent="0.45">
      <c r="A21" t="str">
        <f>Plate!A22</f>
        <v>C4</v>
      </c>
      <c r="B21" t="str">
        <f>"("&amp;Plate!L22&amp;")"&amp;Plate!B22&amp;Plate!C22&amp;";"&amp;Plate!H22&amp;Plate!I22&amp;";"&amp;Plate!N22&amp;Plate!O22</f>
        <v>();;</v>
      </c>
    </row>
    <row r="22" spans="1:2" x14ac:dyDescent="0.45">
      <c r="A22" t="str">
        <f>Plate!A23</f>
        <v>D4</v>
      </c>
      <c r="B22" t="str">
        <f>"("&amp;Plate!L23&amp;")"&amp;Plate!B23&amp;Plate!C23&amp;";"&amp;Plate!H23&amp;Plate!I23&amp;";"&amp;Plate!N23&amp;Plate!O23</f>
        <v>();;</v>
      </c>
    </row>
    <row r="23" spans="1:2" x14ac:dyDescent="0.45">
      <c r="A23" t="str">
        <f>Plate!A24</f>
        <v>E4</v>
      </c>
      <c r="B23" t="str">
        <f>"("&amp;Plate!L24&amp;")"&amp;Plate!B24&amp;Plate!C24&amp;";"&amp;Plate!H24&amp;Plate!I24&amp;";"&amp;Plate!N24&amp;Plate!O24</f>
        <v>();;</v>
      </c>
    </row>
    <row r="24" spans="1:2" x14ac:dyDescent="0.45">
      <c r="A24" t="str">
        <f>Plate!A25</f>
        <v>F4</v>
      </c>
      <c r="B24" t="str">
        <f>"("&amp;Plate!L25&amp;")"&amp;Plate!B25&amp;Plate!C25&amp;";"&amp;Plate!H25&amp;Plate!I25&amp;";"&amp;Plate!N25&amp;Plate!O25</f>
        <v>();;</v>
      </c>
    </row>
    <row r="26" spans="1:2" x14ac:dyDescent="0.45">
      <c r="A26" s="1" t="s">
        <v>43</v>
      </c>
    </row>
    <row r="27" spans="1:2" x14ac:dyDescent="0.45">
      <c r="A27" t="s">
        <v>45</v>
      </c>
      <c r="B27" t="str">
        <f ca="1">OFFSET($A$1,MATCH(LEFT(A27,2),$A$1:$A$24,0)-1,1)</f>
        <v>()Glucose13;Oligom2;</v>
      </c>
    </row>
    <row r="28" spans="1:2" x14ac:dyDescent="0.45">
      <c r="A28" t="s">
        <v>44</v>
      </c>
      <c r="B28" t="str">
        <f t="shared" ref="B28:B74" ca="1" si="0">OFFSET($A$1,MATCH(LEFT(A28,2),$A$1:$A$24,0)-1,1)</f>
        <v>()Glucose13;Oligom2;</v>
      </c>
    </row>
    <row r="29" spans="1:2" x14ac:dyDescent="0.45">
      <c r="A29" t="s">
        <v>57</v>
      </c>
      <c r="B29" t="str">
        <f t="shared" ca="1" si="0"/>
        <v>();;</v>
      </c>
    </row>
    <row r="30" spans="1:2" x14ac:dyDescent="0.45">
      <c r="A30" t="s">
        <v>56</v>
      </c>
      <c r="B30" t="str">
        <f t="shared" ca="1" si="0"/>
        <v>();;</v>
      </c>
    </row>
    <row r="31" spans="1:2" x14ac:dyDescent="0.45">
      <c r="A31" t="s">
        <v>62</v>
      </c>
      <c r="B31" t="str">
        <f t="shared" ca="1" si="0"/>
        <v>();;</v>
      </c>
    </row>
    <row r="32" spans="1:2" x14ac:dyDescent="0.45">
      <c r="A32" t="s">
        <v>63</v>
      </c>
      <c r="B32" t="str">
        <f t="shared" ca="1" si="0"/>
        <v>();;</v>
      </c>
    </row>
    <row r="33" spans="1:2" x14ac:dyDescent="0.45">
      <c r="A33" t="s">
        <v>65</v>
      </c>
      <c r="B33" t="str">
        <f t="shared" ca="1" si="0"/>
        <v>();;</v>
      </c>
    </row>
    <row r="34" spans="1:2" x14ac:dyDescent="0.45">
      <c r="A34" t="s">
        <v>64</v>
      </c>
      <c r="B34" t="str">
        <f t="shared" ca="1" si="0"/>
        <v>();;</v>
      </c>
    </row>
    <row r="35" spans="1:2" x14ac:dyDescent="0.45">
      <c r="A35" t="s">
        <v>71</v>
      </c>
      <c r="B35" t="str">
        <f t="shared" ca="1" si="0"/>
        <v>();;</v>
      </c>
    </row>
    <row r="36" spans="1:2" x14ac:dyDescent="0.45">
      <c r="A36" t="s">
        <v>70</v>
      </c>
      <c r="B36" t="str">
        <f t="shared" ca="1" si="0"/>
        <v>();;</v>
      </c>
    </row>
    <row r="37" spans="1:2" x14ac:dyDescent="0.45">
      <c r="A37" t="s">
        <v>72</v>
      </c>
      <c r="B37" t="str">
        <f t="shared" ca="1" si="0"/>
        <v>();;</v>
      </c>
    </row>
    <row r="38" spans="1:2" x14ac:dyDescent="0.45">
      <c r="A38" t="s">
        <v>73</v>
      </c>
      <c r="B38" t="str">
        <f t="shared" ca="1" si="0"/>
        <v>();;</v>
      </c>
    </row>
    <row r="39" spans="1:2" x14ac:dyDescent="0.45">
      <c r="A39" t="s">
        <v>74</v>
      </c>
      <c r="B39" t="str">
        <f t="shared" ca="1" si="0"/>
        <v>();;</v>
      </c>
    </row>
    <row r="40" spans="1:2" x14ac:dyDescent="0.45">
      <c r="A40" t="s">
        <v>75</v>
      </c>
      <c r="B40" t="str">
        <f t="shared" ca="1" si="0"/>
        <v>();;</v>
      </c>
    </row>
    <row r="41" spans="1:2" x14ac:dyDescent="0.45">
      <c r="A41" t="s">
        <v>68</v>
      </c>
      <c r="B41" t="str">
        <f t="shared" ca="1" si="0"/>
        <v>();;</v>
      </c>
    </row>
    <row r="42" spans="1:2" x14ac:dyDescent="0.45">
      <c r="A42" t="s">
        <v>69</v>
      </c>
      <c r="B42" t="str">
        <f t="shared" ca="1" si="0"/>
        <v>();;</v>
      </c>
    </row>
    <row r="43" spans="1:2" x14ac:dyDescent="0.45">
      <c r="A43" t="s">
        <v>67</v>
      </c>
      <c r="B43" t="str">
        <f t="shared" ca="1" si="0"/>
        <v>();;</v>
      </c>
    </row>
    <row r="44" spans="1:2" x14ac:dyDescent="0.45">
      <c r="A44" t="s">
        <v>66</v>
      </c>
      <c r="B44" t="str">
        <f t="shared" ca="1" si="0"/>
        <v>();;</v>
      </c>
    </row>
    <row r="45" spans="1:2" x14ac:dyDescent="0.45">
      <c r="A45" t="s">
        <v>61</v>
      </c>
      <c r="B45" t="str">
        <f t="shared" ca="1" si="0"/>
        <v>();;</v>
      </c>
    </row>
    <row r="46" spans="1:2" x14ac:dyDescent="0.45">
      <c r="A46" t="s">
        <v>60</v>
      </c>
      <c r="B46" t="str">
        <f t="shared" ca="1" si="0"/>
        <v>();;</v>
      </c>
    </row>
    <row r="47" spans="1:2" x14ac:dyDescent="0.45">
      <c r="A47" t="s">
        <v>59</v>
      </c>
      <c r="B47" t="str">
        <f t="shared" ca="1" si="0"/>
        <v>();;</v>
      </c>
    </row>
    <row r="48" spans="1:2" x14ac:dyDescent="0.45">
      <c r="A48" t="s">
        <v>58</v>
      </c>
      <c r="B48" t="str">
        <f t="shared" ca="1" si="0"/>
        <v>();;</v>
      </c>
    </row>
    <row r="49" spans="1:2" x14ac:dyDescent="0.45">
      <c r="A49" t="s">
        <v>101</v>
      </c>
      <c r="B49" t="str">
        <f t="shared" ca="1" si="0"/>
        <v>();;</v>
      </c>
    </row>
    <row r="50" spans="1:2" x14ac:dyDescent="0.45">
      <c r="A50" t="s">
        <v>100</v>
      </c>
      <c r="B50" t="str">
        <f t="shared" ca="1" si="0"/>
        <v>();;</v>
      </c>
    </row>
    <row r="51" spans="1:2" x14ac:dyDescent="0.45">
      <c r="A51" t="s">
        <v>103</v>
      </c>
      <c r="B51" t="str">
        <f t="shared" ca="1" si="0"/>
        <v>();;</v>
      </c>
    </row>
    <row r="52" spans="1:2" x14ac:dyDescent="0.45">
      <c r="A52" t="s">
        <v>102</v>
      </c>
      <c r="B52" t="str">
        <f t="shared" ca="1" si="0"/>
        <v>();;</v>
      </c>
    </row>
    <row r="53" spans="1:2" x14ac:dyDescent="0.45">
      <c r="A53" t="s">
        <v>104</v>
      </c>
      <c r="B53" t="str">
        <f t="shared" ca="1" si="0"/>
        <v>();;</v>
      </c>
    </row>
    <row r="54" spans="1:2" x14ac:dyDescent="0.45">
      <c r="A54" t="s">
        <v>105</v>
      </c>
      <c r="B54" t="str">
        <f t="shared" ca="1" si="0"/>
        <v>();;</v>
      </c>
    </row>
    <row r="55" spans="1:2" x14ac:dyDescent="0.45">
      <c r="A55" t="s">
        <v>106</v>
      </c>
      <c r="B55" t="str">
        <f t="shared" ca="1" si="0"/>
        <v>();;</v>
      </c>
    </row>
    <row r="56" spans="1:2" x14ac:dyDescent="0.45">
      <c r="A56" t="s">
        <v>107</v>
      </c>
      <c r="B56" t="str">
        <f t="shared" ca="1" si="0"/>
        <v>();;</v>
      </c>
    </row>
    <row r="57" spans="1:2" x14ac:dyDescent="0.45">
      <c r="A57" t="s">
        <v>108</v>
      </c>
      <c r="B57" t="str">
        <f t="shared" ca="1" si="0"/>
        <v>();;</v>
      </c>
    </row>
    <row r="58" spans="1:2" x14ac:dyDescent="0.45">
      <c r="A58" t="s">
        <v>109</v>
      </c>
      <c r="B58" t="str">
        <f t="shared" ca="1" si="0"/>
        <v>();;</v>
      </c>
    </row>
    <row r="59" spans="1:2" x14ac:dyDescent="0.45">
      <c r="A59" t="s">
        <v>110</v>
      </c>
      <c r="B59" t="str">
        <f t="shared" ca="1" si="0"/>
        <v>();;</v>
      </c>
    </row>
    <row r="60" spans="1:2" x14ac:dyDescent="0.45">
      <c r="A60" t="s">
        <v>111</v>
      </c>
      <c r="B60" t="str">
        <f t="shared" ca="1" si="0"/>
        <v>();;</v>
      </c>
    </row>
    <row r="61" spans="1:2" x14ac:dyDescent="0.45">
      <c r="A61" t="s">
        <v>77</v>
      </c>
      <c r="B61" t="str">
        <f t="shared" ca="1" si="0"/>
        <v>();;</v>
      </c>
    </row>
    <row r="62" spans="1:2" x14ac:dyDescent="0.45">
      <c r="A62" t="s">
        <v>76</v>
      </c>
      <c r="B62" t="str">
        <f t="shared" ca="1" si="0"/>
        <v>();;</v>
      </c>
    </row>
    <row r="63" spans="1:2" x14ac:dyDescent="0.45">
      <c r="A63" t="s">
        <v>78</v>
      </c>
      <c r="B63" t="str">
        <f t="shared" ca="1" si="0"/>
        <v>();;</v>
      </c>
    </row>
    <row r="64" spans="1:2" x14ac:dyDescent="0.45">
      <c r="A64" t="s">
        <v>79</v>
      </c>
      <c r="B64" t="str">
        <f t="shared" ca="1" si="0"/>
        <v>();;</v>
      </c>
    </row>
    <row r="65" spans="1:2" x14ac:dyDescent="0.45">
      <c r="A65" t="s">
        <v>55</v>
      </c>
      <c r="B65" t="str">
        <f t="shared" ca="1" si="0"/>
        <v>();;</v>
      </c>
    </row>
    <row r="66" spans="1:2" x14ac:dyDescent="0.45">
      <c r="A66" t="s">
        <v>54</v>
      </c>
      <c r="B66" t="str">
        <f t="shared" ca="1" si="0"/>
        <v>();;</v>
      </c>
    </row>
    <row r="67" spans="1:2" x14ac:dyDescent="0.45">
      <c r="A67" t="s">
        <v>53</v>
      </c>
      <c r="B67" t="str">
        <f t="shared" ca="1" si="0"/>
        <v>();;</v>
      </c>
    </row>
    <row r="68" spans="1:2" x14ac:dyDescent="0.45">
      <c r="A68" t="s">
        <v>52</v>
      </c>
      <c r="B68" t="str">
        <f t="shared" ca="1" si="0"/>
        <v>();;</v>
      </c>
    </row>
    <row r="69" spans="1:2" x14ac:dyDescent="0.45">
      <c r="A69" t="s">
        <v>51</v>
      </c>
      <c r="B69" t="str">
        <f t="shared" ca="1" si="0"/>
        <v>();;</v>
      </c>
    </row>
    <row r="70" spans="1:2" x14ac:dyDescent="0.45">
      <c r="A70" t="s">
        <v>50</v>
      </c>
      <c r="B70" t="str">
        <f t="shared" ca="1" si="0"/>
        <v>();;</v>
      </c>
    </row>
    <row r="71" spans="1:2" x14ac:dyDescent="0.45">
      <c r="A71" t="s">
        <v>48</v>
      </c>
      <c r="B71" t="str">
        <f t="shared" ca="1" si="0"/>
        <v>();;</v>
      </c>
    </row>
    <row r="72" spans="1:2" x14ac:dyDescent="0.45">
      <c r="A72" t="s">
        <v>49</v>
      </c>
      <c r="B72" t="str">
        <f t="shared" ca="1" si="0"/>
        <v>();;</v>
      </c>
    </row>
    <row r="73" spans="1:2" x14ac:dyDescent="0.45">
      <c r="A73" t="s">
        <v>46</v>
      </c>
      <c r="B73" t="str">
        <f t="shared" ca="1" si="0"/>
        <v>()Glucose+FCCP100;Oligom2;</v>
      </c>
    </row>
    <row r="74" spans="1:2" x14ac:dyDescent="0.45">
      <c r="A74" t="s">
        <v>47</v>
      </c>
      <c r="B74" t="str">
        <f t="shared" ca="1" si="0"/>
        <v>()Glucose+FCCP100;Oligom2;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18"/>
  <sheetViews>
    <sheetView workbookViewId="0">
      <selection activeCell="L1" sqref="L1:L18"/>
    </sheetView>
  </sheetViews>
  <sheetFormatPr defaultRowHeight="14.25" x14ac:dyDescent="0.45"/>
  <cols>
    <col min="2" max="2" width="25.1328125" customWidth="1"/>
    <col min="8" max="8" width="15.33203125" customWidth="1"/>
  </cols>
  <sheetData>
    <row r="1" spans="2:18" ht="14.65" thickBot="1" x14ac:dyDescent="0.5">
      <c r="B1" s="7"/>
      <c r="C1" s="4"/>
      <c r="D1" s="65"/>
      <c r="E1" s="55"/>
      <c r="F1" s="94"/>
      <c r="G1" s="62"/>
      <c r="H1" s="7"/>
      <c r="I1" s="65"/>
      <c r="J1" s="4"/>
      <c r="K1" s="55"/>
      <c r="M1">
        <f t="shared" ref="M1:M18" ca="1" si="0">RAND()</f>
        <v>0.13561219008567515</v>
      </c>
      <c r="N1">
        <v>1</v>
      </c>
      <c r="O1" t="str">
        <f t="shared" ref="O1:O18" si="1">B1&amp;";"&amp;H1</f>
        <v>;</v>
      </c>
      <c r="R1" t="s">
        <v>122</v>
      </c>
    </row>
    <row r="2" spans="2:18" ht="14.65" thickBot="1" x14ac:dyDescent="0.5">
      <c r="B2" s="7"/>
      <c r="C2" s="4"/>
      <c r="D2" s="65"/>
      <c r="E2" s="55"/>
      <c r="F2" s="94"/>
      <c r="G2" s="62"/>
      <c r="H2" s="7"/>
      <c r="I2" s="4"/>
      <c r="J2" s="4"/>
      <c r="K2" s="55"/>
      <c r="M2">
        <f t="shared" ca="1" si="0"/>
        <v>6.728094190394307E-2</v>
      </c>
      <c r="N2">
        <v>2</v>
      </c>
      <c r="O2" t="str">
        <f t="shared" si="1"/>
        <v>;</v>
      </c>
      <c r="R2" t="s">
        <v>123</v>
      </c>
    </row>
    <row r="3" spans="2:18" ht="14.65" thickBot="1" x14ac:dyDescent="0.5">
      <c r="B3" s="7"/>
      <c r="C3" s="4"/>
      <c r="D3" s="65"/>
      <c r="E3" s="55"/>
      <c r="F3" s="94"/>
      <c r="G3" s="62"/>
      <c r="H3" s="7"/>
      <c r="I3" s="4"/>
      <c r="J3" s="4"/>
      <c r="K3" s="55"/>
      <c r="M3">
        <f t="shared" ca="1" si="0"/>
        <v>0.32451661201647308</v>
      </c>
      <c r="N3">
        <v>3</v>
      </c>
      <c r="O3" t="str">
        <f t="shared" si="1"/>
        <v>;</v>
      </c>
      <c r="R3" t="s">
        <v>124</v>
      </c>
    </row>
    <row r="4" spans="2:18" ht="14.65" thickBot="1" x14ac:dyDescent="0.5">
      <c r="B4" s="57"/>
      <c r="C4" s="4"/>
      <c r="D4" s="4"/>
      <c r="E4" s="58"/>
      <c r="F4" s="66"/>
      <c r="G4" s="62"/>
      <c r="H4" s="9"/>
      <c r="I4" s="4"/>
      <c r="J4" s="4"/>
      <c r="K4" s="55"/>
      <c r="M4">
        <f t="shared" ca="1" si="0"/>
        <v>0.17673383202559312</v>
      </c>
      <c r="N4">
        <v>4</v>
      </c>
      <c r="O4" t="str">
        <f t="shared" si="1"/>
        <v>;</v>
      </c>
    </row>
    <row r="5" spans="2:18" ht="14.65" thickBot="1" x14ac:dyDescent="0.5">
      <c r="B5" s="57"/>
      <c r="C5" s="4"/>
      <c r="D5" s="65"/>
      <c r="E5" s="55"/>
      <c r="F5" s="66"/>
      <c r="G5" s="62"/>
      <c r="H5" s="7"/>
      <c r="I5" s="65"/>
      <c r="J5" s="4"/>
      <c r="K5" s="55"/>
      <c r="M5">
        <f t="shared" ca="1" si="0"/>
        <v>0.47758878790220771</v>
      </c>
      <c r="N5">
        <v>5</v>
      </c>
      <c r="O5" t="str">
        <f t="shared" si="1"/>
        <v>;</v>
      </c>
    </row>
    <row r="6" spans="2:18" ht="14.65" thickBot="1" x14ac:dyDescent="0.5">
      <c r="B6" s="7"/>
      <c r="C6" s="4"/>
      <c r="D6" s="65"/>
      <c r="E6" s="55"/>
      <c r="F6" s="94"/>
      <c r="G6" s="62"/>
      <c r="H6" s="7"/>
      <c r="I6" s="65"/>
      <c r="J6" s="4"/>
      <c r="K6" s="55"/>
      <c r="M6">
        <f t="shared" ca="1" si="0"/>
        <v>0.78506306572671281</v>
      </c>
      <c r="N6">
        <v>6</v>
      </c>
      <c r="O6" t="str">
        <f t="shared" si="1"/>
        <v>;</v>
      </c>
    </row>
    <row r="7" spans="2:18" ht="14.65" thickBot="1" x14ac:dyDescent="0.5">
      <c r="B7" s="59"/>
      <c r="C7" s="61"/>
      <c r="D7" s="64"/>
      <c r="E7" s="63"/>
      <c r="F7" s="56"/>
      <c r="G7" s="62"/>
      <c r="H7" s="57"/>
      <c r="I7" s="65"/>
      <c r="J7" s="4"/>
      <c r="K7" s="55"/>
      <c r="M7">
        <f t="shared" ca="1" si="0"/>
        <v>0.37144235141870696</v>
      </c>
      <c r="N7">
        <v>7</v>
      </c>
      <c r="O7" t="str">
        <f t="shared" si="1"/>
        <v>;</v>
      </c>
    </row>
    <row r="8" spans="2:18" ht="14.65" thickBot="1" x14ac:dyDescent="0.5">
      <c r="B8" s="57"/>
      <c r="C8" s="4"/>
      <c r="D8" s="65"/>
      <c r="E8" s="55"/>
      <c r="F8" s="66"/>
      <c r="G8" s="62"/>
      <c r="H8" s="7"/>
      <c r="I8" s="65"/>
      <c r="J8" s="4"/>
      <c r="K8" s="55"/>
      <c r="M8">
        <f t="shared" ca="1" si="0"/>
        <v>0.44852685978285411</v>
      </c>
      <c r="N8">
        <v>8</v>
      </c>
      <c r="O8" t="str">
        <f t="shared" si="1"/>
        <v>;</v>
      </c>
    </row>
    <row r="9" spans="2:18" ht="14.65" thickBot="1" x14ac:dyDescent="0.5">
      <c r="B9" s="57"/>
      <c r="C9" s="4"/>
      <c r="D9" s="65"/>
      <c r="E9" s="55"/>
      <c r="F9" s="66"/>
      <c r="G9" s="62"/>
      <c r="H9" s="7"/>
      <c r="I9" s="4"/>
      <c r="J9" s="4"/>
      <c r="K9" s="58"/>
      <c r="M9">
        <f t="shared" ca="1" si="0"/>
        <v>0.34014972762067419</v>
      </c>
      <c r="N9">
        <v>9</v>
      </c>
      <c r="O9" t="str">
        <f t="shared" si="1"/>
        <v>;</v>
      </c>
    </row>
    <row r="10" spans="2:18" ht="14.65" thickBot="1" x14ac:dyDescent="0.5">
      <c r="B10" s="59"/>
      <c r="C10" s="61"/>
      <c r="D10" s="61"/>
      <c r="E10" s="60"/>
      <c r="F10" s="56"/>
      <c r="G10" s="62"/>
      <c r="H10" s="57"/>
      <c r="I10" s="4"/>
      <c r="J10" s="4"/>
      <c r="K10" s="55"/>
      <c r="M10">
        <f t="shared" ca="1" si="0"/>
        <v>0.68686089131597206</v>
      </c>
      <c r="N10">
        <v>10</v>
      </c>
      <c r="O10" t="str">
        <f t="shared" si="1"/>
        <v>;</v>
      </c>
    </row>
    <row r="11" spans="2:18" ht="14.65" thickBot="1" x14ac:dyDescent="0.5">
      <c r="B11" s="7"/>
      <c r="C11" s="4"/>
      <c r="D11" s="65"/>
      <c r="E11" s="55"/>
      <c r="F11" s="94"/>
      <c r="G11" s="62"/>
      <c r="H11" s="7"/>
      <c r="I11" s="65"/>
      <c r="J11" s="4"/>
      <c r="K11" s="55"/>
      <c r="M11">
        <f t="shared" ca="1" si="0"/>
        <v>0.98106768463889793</v>
      </c>
      <c r="N11">
        <v>11</v>
      </c>
      <c r="O11" t="str">
        <f t="shared" si="1"/>
        <v>;</v>
      </c>
    </row>
    <row r="12" spans="2:18" ht="14.65" thickBot="1" x14ac:dyDescent="0.5">
      <c r="B12" s="57"/>
      <c r="C12" s="4"/>
      <c r="D12" s="65"/>
      <c r="E12" s="55"/>
      <c r="F12" s="66"/>
      <c r="G12" s="62"/>
      <c r="H12" s="7"/>
      <c r="I12" s="65"/>
      <c r="J12" s="4"/>
      <c r="K12" s="55"/>
      <c r="M12">
        <f t="shared" ca="1" si="0"/>
        <v>0.44689387458135588</v>
      </c>
      <c r="N12">
        <v>12</v>
      </c>
      <c r="O12" t="str">
        <f t="shared" si="1"/>
        <v>;</v>
      </c>
    </row>
    <row r="13" spans="2:18" ht="14.65" thickBot="1" x14ac:dyDescent="0.5">
      <c r="B13" s="57"/>
      <c r="C13" s="4"/>
      <c r="D13" s="65"/>
      <c r="E13" s="55"/>
      <c r="F13" s="66"/>
      <c r="G13" s="62"/>
      <c r="H13" s="7"/>
      <c r="I13" s="65"/>
      <c r="J13" s="4"/>
      <c r="K13" s="55"/>
      <c r="M13">
        <f t="shared" ca="1" si="0"/>
        <v>5.8004324902545146E-2</v>
      </c>
      <c r="N13">
        <v>13</v>
      </c>
      <c r="O13" t="str">
        <f t="shared" si="1"/>
        <v>;</v>
      </c>
    </row>
    <row r="14" spans="2:18" ht="14.65" thickBot="1" x14ac:dyDescent="0.5">
      <c r="B14" s="7"/>
      <c r="C14" s="4"/>
      <c r="D14" s="65"/>
      <c r="E14" s="55"/>
      <c r="F14" s="94"/>
      <c r="G14" s="62"/>
      <c r="H14" s="7"/>
      <c r="I14" s="65"/>
      <c r="J14" s="4"/>
      <c r="K14" s="55"/>
      <c r="M14">
        <f t="shared" ca="1" si="0"/>
        <v>0.70427191267206546</v>
      </c>
      <c r="N14">
        <v>14</v>
      </c>
      <c r="O14" t="str">
        <f t="shared" si="1"/>
        <v>;</v>
      </c>
    </row>
    <row r="15" spans="2:18" ht="14.65" thickBot="1" x14ac:dyDescent="0.5">
      <c r="B15" s="7"/>
      <c r="C15" s="4"/>
      <c r="D15" s="65"/>
      <c r="E15" s="55"/>
      <c r="F15" s="94"/>
      <c r="G15" s="62"/>
      <c r="H15" s="7"/>
      <c r="I15" s="65"/>
      <c r="J15" s="4"/>
      <c r="K15" s="55"/>
      <c r="M15">
        <f t="shared" ca="1" si="0"/>
        <v>0.87099967751978824</v>
      </c>
      <c r="N15">
        <v>15</v>
      </c>
      <c r="O15" t="str">
        <f t="shared" si="1"/>
        <v>;</v>
      </c>
    </row>
    <row r="16" spans="2:18" ht="14.65" thickBot="1" x14ac:dyDescent="0.5">
      <c r="B16" s="7"/>
      <c r="C16" s="4"/>
      <c r="D16" s="65"/>
      <c r="E16" s="55"/>
      <c r="F16" s="94"/>
      <c r="G16" s="62"/>
      <c r="H16" s="7"/>
      <c r="I16" s="65"/>
      <c r="J16" s="4"/>
      <c r="K16" s="55"/>
      <c r="M16">
        <f t="shared" ca="1" si="0"/>
        <v>0.74051197141962977</v>
      </c>
      <c r="N16">
        <v>16</v>
      </c>
      <c r="O16" t="str">
        <f t="shared" si="1"/>
        <v>;</v>
      </c>
    </row>
    <row r="17" spans="2:15" ht="14.65" thickBot="1" x14ac:dyDescent="0.5">
      <c r="B17" s="57"/>
      <c r="C17" s="4"/>
      <c r="D17" s="65"/>
      <c r="E17" s="55"/>
      <c r="F17" s="66"/>
      <c r="G17" s="62"/>
      <c r="H17" s="7"/>
      <c r="I17" s="65"/>
      <c r="J17" s="4"/>
      <c r="K17" s="55"/>
      <c r="M17">
        <f t="shared" ca="1" si="0"/>
        <v>0.32740257144937512</v>
      </c>
      <c r="N17">
        <v>17</v>
      </c>
      <c r="O17" t="str">
        <f t="shared" si="1"/>
        <v>;</v>
      </c>
    </row>
    <row r="18" spans="2:15" x14ac:dyDescent="0.45">
      <c r="B18" s="57"/>
      <c r="C18" s="4"/>
      <c r="D18" s="65"/>
      <c r="E18" s="55"/>
      <c r="F18" s="66"/>
      <c r="G18" s="62"/>
      <c r="H18" s="7"/>
      <c r="I18" s="65"/>
      <c r="J18" s="4"/>
      <c r="K18" s="55"/>
      <c r="M18">
        <f t="shared" ca="1" si="0"/>
        <v>0.61752768011138803</v>
      </c>
      <c r="N18">
        <v>18</v>
      </c>
      <c r="O18" t="str">
        <f t="shared" si="1"/>
        <v>;</v>
      </c>
    </row>
  </sheetData>
  <sortState xmlns:xlrd2="http://schemas.microsoft.com/office/spreadsheetml/2017/richdata2" ref="B1:N18">
    <sortCondition ref="N1:N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</vt:lpstr>
      <vt:lpstr>Tally</vt:lpstr>
      <vt:lpstr>Checklist</vt:lpstr>
      <vt:lpstr>Condition Names</vt:lpstr>
      <vt:lpstr>Randomize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agerencser</dc:creator>
  <cp:lastModifiedBy>Akos Gerencser</cp:lastModifiedBy>
  <dcterms:created xsi:type="dcterms:W3CDTF">2017-03-07T17:32:44Z</dcterms:created>
  <dcterms:modified xsi:type="dcterms:W3CDTF">2026-07-31T20:42:46Z</dcterms:modified>
</cp:coreProperties>
</file>